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4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5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6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7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8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9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0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1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2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23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24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25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26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27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28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29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30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31.xml" ContentType="application/vnd.openxmlformats-officedocument.drawing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32.xml" ContentType="application/vnd.openxmlformats-officedocument.drawing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33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34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35.xml" ContentType="application/vnd.openxmlformats-officedocument.drawing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36.xml" ContentType="application/vnd.openxmlformats-officedocument.drawing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37.xml" ContentType="application/vnd.openxmlformats-officedocument.drawing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drawings/drawing38.xml" ContentType="application/vnd.openxmlformats-officedocument.drawing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Projects\EDAC_Analytics\"/>
    </mc:Choice>
  </mc:AlternateContent>
  <xr:revisionPtr revIDLastSave="0" documentId="13_ncr:1_{B8929462-3A80-4A22-ADC0-B360964D82F4}" xr6:coauthVersionLast="47" xr6:coauthVersionMax="47" xr10:uidLastSave="{00000000-0000-0000-0000-000000000000}"/>
  <bookViews>
    <workbookView xWindow="14400" yWindow="0" windowWidth="14400" windowHeight="15510" tabRatio="656" firstSheet="31" activeTab="35" xr2:uid="{ED102B22-51AA-457B-9076-95F00BC2FAFE}"/>
  </bookViews>
  <sheets>
    <sheet name="2023.10" sheetId="1" r:id="rId1"/>
    <sheet name="2023.11" sheetId="3" r:id="rId2"/>
    <sheet name="2023.12" sheetId="4" r:id="rId3"/>
    <sheet name="2024.01" sheetId="5" r:id="rId4"/>
    <sheet name="2024.02" sheetId="6" r:id="rId5"/>
    <sheet name="2024.03" sheetId="8" r:id="rId6"/>
    <sheet name="2024.04" sheetId="9" r:id="rId7"/>
    <sheet name="2024.05" sheetId="10" r:id="rId8"/>
    <sheet name="2024.06" sheetId="11" r:id="rId9"/>
    <sheet name="2024.07" sheetId="12" r:id="rId10"/>
    <sheet name="2024.08" sheetId="13" r:id="rId11"/>
    <sheet name="2024.09" sheetId="14" r:id="rId12"/>
    <sheet name="2024.10" sheetId="15" r:id="rId13"/>
    <sheet name="2024.11" sheetId="16" r:id="rId14"/>
    <sheet name="2024.12" sheetId="17" r:id="rId15"/>
    <sheet name="2025.01" sheetId="18" r:id="rId16"/>
    <sheet name="2025.02" sheetId="19" r:id="rId17"/>
    <sheet name="2025.03" sheetId="20" r:id="rId18"/>
    <sheet name="2025.04" sheetId="21" r:id="rId19"/>
    <sheet name="2025.05" sheetId="22" r:id="rId20"/>
    <sheet name="2025.06" sheetId="23" r:id="rId21"/>
    <sheet name="2025.07" sheetId="24" r:id="rId22"/>
    <sheet name="2025.08" sheetId="25" r:id="rId23"/>
    <sheet name="2025.09" sheetId="26" r:id="rId24"/>
    <sheet name="2025.10" sheetId="27" r:id="rId25"/>
    <sheet name="2025.11" sheetId="28" r:id="rId26"/>
    <sheet name="2025.12" sheetId="29" r:id="rId27"/>
    <sheet name="2026.01" sheetId="30" r:id="rId28"/>
    <sheet name="2026.02" sheetId="31" r:id="rId29"/>
    <sheet name="2026.03" sheetId="32" r:id="rId30"/>
    <sheet name="2026.04" sheetId="33" r:id="rId31"/>
    <sheet name="2026.05" sheetId="34" r:id="rId32"/>
    <sheet name="2026.06" sheetId="35" r:id="rId33"/>
    <sheet name="2026.07" sheetId="36" r:id="rId34"/>
    <sheet name="2026.08" sheetId="37" r:id="rId35"/>
    <sheet name="2026.09" sheetId="38" r:id="rId36"/>
    <sheet name="TOTAL" sheetId="7" r:id="rId37"/>
    <sheet name="Sheet2" sheetId="2" r:id="rId38"/>
  </sheets>
  <definedNames>
    <definedName name="_xlnm._FilterDatabase" localSheetId="0" hidden="1">'2023.10'!$A$1:$B$25</definedName>
    <definedName name="_xlnm._FilterDatabase" localSheetId="1" hidden="1">'2023.11'!$A$1:$B$25</definedName>
    <definedName name="_xlnm._FilterDatabase" localSheetId="2" hidden="1">'2023.12'!$A$1:$B$25</definedName>
    <definedName name="_xlnm._FilterDatabase" localSheetId="3" hidden="1">'2024.01'!$A$1:$B$25</definedName>
    <definedName name="_xlnm._FilterDatabase" localSheetId="4" hidden="1">'2024.02'!$A$1:$B$25</definedName>
    <definedName name="_xlnm._FilterDatabase" localSheetId="5" hidden="1">'2024.03'!$A$1:$B$25</definedName>
    <definedName name="_xlnm._FilterDatabase" localSheetId="6" hidden="1">'2024.04'!$A$1:$B$25</definedName>
    <definedName name="_xlnm._FilterDatabase" localSheetId="7" hidden="1">'2024.05'!$A$1:$B$25</definedName>
    <definedName name="_xlnm._FilterDatabase" localSheetId="8" hidden="1">'2024.06'!$A$1:$B$25</definedName>
    <definedName name="_xlnm._FilterDatabase" localSheetId="9" hidden="1">'2024.07'!$A$1:$B$25</definedName>
    <definedName name="_xlnm._FilterDatabase" localSheetId="10" hidden="1">'2024.08'!$A$1:$B$25</definedName>
    <definedName name="_xlnm._FilterDatabase" localSheetId="11" hidden="1">'2024.09'!$A$1:$B$25</definedName>
    <definedName name="_xlnm._FilterDatabase" localSheetId="12" hidden="1">'2024.10'!$A$1:$B$25</definedName>
    <definedName name="_xlnm._FilterDatabase" localSheetId="13" hidden="1">'2024.11'!$A$1:$B$25</definedName>
    <definedName name="_xlnm._FilterDatabase" localSheetId="14" hidden="1">'2024.12'!$A$1:$B$25</definedName>
    <definedName name="_xlnm._FilterDatabase" localSheetId="15" hidden="1">'2025.01'!$A$1:$B$25</definedName>
    <definedName name="_xlnm._FilterDatabase" localSheetId="16" hidden="1">'2025.02'!$A$1:$B$25</definedName>
    <definedName name="_xlnm._FilterDatabase" localSheetId="17" hidden="1">'2025.03'!$A$1:$B$25</definedName>
    <definedName name="_xlnm._FilterDatabase" localSheetId="18" hidden="1">'2025.04'!$A$1:$B$25</definedName>
    <definedName name="_xlnm._FilterDatabase" localSheetId="19" hidden="1">'2025.05'!$A$1:$B$25</definedName>
    <definedName name="_xlnm._FilterDatabase" localSheetId="20" hidden="1">'2025.06'!$A$1:$B$25</definedName>
    <definedName name="_xlnm._FilterDatabase" localSheetId="21" hidden="1">'2025.07'!$A$1:$B$25</definedName>
    <definedName name="_xlnm._FilterDatabase" localSheetId="22" hidden="1">'2025.08'!$A$1:$B$25</definedName>
    <definedName name="_xlnm._FilterDatabase" localSheetId="23" hidden="1">'2025.09'!$A$1:$B$25</definedName>
    <definedName name="_xlnm._FilterDatabase" localSheetId="24" hidden="1">'2025.10'!$A$1:$B$25</definedName>
    <definedName name="_xlnm._FilterDatabase" localSheetId="25" hidden="1">'2025.11'!$A$1:$B$25</definedName>
    <definedName name="_xlnm._FilterDatabase" localSheetId="26" hidden="1">'2025.12'!$A$1:$B$25</definedName>
    <definedName name="_xlnm._FilterDatabase" localSheetId="27" hidden="1">'2026.01'!$A$1:$B$25</definedName>
    <definedName name="_xlnm._FilterDatabase" localSheetId="28" hidden="1">'2026.02'!$A$1:$B$25</definedName>
    <definedName name="_xlnm._FilterDatabase" localSheetId="29" hidden="1">'2026.03'!$A$1:$B$25</definedName>
    <definedName name="_xlnm._FilterDatabase" localSheetId="30" hidden="1">'2026.04'!$A$1:$B$25</definedName>
    <definedName name="_xlnm._FilterDatabase" localSheetId="31" hidden="1">'2026.05'!$A$1:$B$25</definedName>
    <definedName name="_xlnm._FilterDatabase" localSheetId="32" hidden="1">'2026.06'!$A$1:$B$25</definedName>
    <definedName name="_xlnm._FilterDatabase" localSheetId="33" hidden="1">'2026.07'!$A$1:$B$25</definedName>
    <definedName name="_xlnm._FilterDatabase" localSheetId="34" hidden="1">'2026.08'!$A$1:$B$25</definedName>
    <definedName name="_xlnm._FilterDatabase" localSheetId="35" hidden="1">'2026.09'!$A$1:$B$25</definedName>
    <definedName name="_xlnm._FilterDatabase" localSheetId="37" hidden="1">Sheet2!$A$36:$AA$94</definedName>
    <definedName name="_xlnm._FilterDatabase" localSheetId="36" hidden="1">TOTAL!$A$84:$B$110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38" l="1"/>
  <c r="R30" i="38"/>
  <c r="U28" i="38"/>
  <c r="U27" i="38"/>
  <c r="U26" i="38"/>
  <c r="U25" i="38"/>
  <c r="U24" i="38"/>
  <c r="U23" i="38"/>
  <c r="B28" i="38" s="1"/>
  <c r="U22" i="38"/>
  <c r="B16" i="38" s="1"/>
  <c r="B24" i="38"/>
  <c r="U21" i="38"/>
  <c r="B27" i="38" s="1"/>
  <c r="U20" i="38"/>
  <c r="B13" i="38" s="1"/>
  <c r="B14" i="38"/>
  <c r="U19" i="38"/>
  <c r="B26" i="38" s="1"/>
  <c r="B22" i="38"/>
  <c r="U18" i="38"/>
  <c r="B8" i="38" s="1"/>
  <c r="U17" i="38"/>
  <c r="U16" i="38"/>
  <c r="U15" i="38"/>
  <c r="U14" i="38"/>
  <c r="B21" i="38" s="1"/>
  <c r="B12" i="38"/>
  <c r="U13" i="38"/>
  <c r="B25" i="38" s="1"/>
  <c r="U12" i="38"/>
  <c r="B10" i="38" s="1"/>
  <c r="B20" i="38"/>
  <c r="U11" i="38"/>
  <c r="B19" i="38"/>
  <c r="U10" i="38"/>
  <c r="B9" i="38" s="1"/>
  <c r="B18" i="38"/>
  <c r="U9" i="38"/>
  <c r="B7" i="38" s="1"/>
  <c r="B11" i="38"/>
  <c r="U8" i="38"/>
  <c r="B5" i="38" s="1"/>
  <c r="U7" i="38"/>
  <c r="B15" i="38" s="1"/>
  <c r="U6" i="38"/>
  <c r="B23" i="38" s="1"/>
  <c r="U5" i="38"/>
  <c r="B6" i="38" s="1"/>
  <c r="U4" i="38"/>
  <c r="B4" i="38" s="1"/>
  <c r="U3" i="38"/>
  <c r="B3" i="38" s="1"/>
  <c r="U2" i="38"/>
  <c r="B17" i="38" s="1"/>
  <c r="B2" i="38"/>
  <c r="S30" i="37"/>
  <c r="R30" i="37"/>
  <c r="U28" i="37"/>
  <c r="B2" i="37" s="1"/>
  <c r="U27" i="37"/>
  <c r="B11" i="37"/>
  <c r="U26" i="37"/>
  <c r="B19" i="37" s="1"/>
  <c r="U25" i="37"/>
  <c r="B22" i="37" s="1"/>
  <c r="U24" i="37"/>
  <c r="B9" i="37"/>
  <c r="U23" i="37"/>
  <c r="B28" i="37" s="1"/>
  <c r="U22" i="37"/>
  <c r="B27" i="37" s="1"/>
  <c r="U21" i="37"/>
  <c r="B26" i="37" s="1"/>
  <c r="U20" i="37"/>
  <c r="B18" i="37" s="1"/>
  <c r="U19" i="37"/>
  <c r="B24" i="37" s="1"/>
  <c r="U18" i="37"/>
  <c r="B15" i="37" s="1"/>
  <c r="U17" i="37"/>
  <c r="B10" i="37" s="1"/>
  <c r="U16" i="37"/>
  <c r="U15" i="37"/>
  <c r="B14" i="37" s="1"/>
  <c r="U14" i="37"/>
  <c r="B16" i="37" s="1"/>
  <c r="U13" i="37"/>
  <c r="B23" i="37" s="1"/>
  <c r="U12" i="37"/>
  <c r="B17" i="37" s="1"/>
  <c r="U11" i="37"/>
  <c r="B20" i="37" s="1"/>
  <c r="U10" i="37"/>
  <c r="B4" i="37" s="1"/>
  <c r="U9" i="37"/>
  <c r="B13" i="37" s="1"/>
  <c r="U8" i="37"/>
  <c r="B8" i="37" s="1"/>
  <c r="U7" i="37"/>
  <c r="B25" i="37" s="1"/>
  <c r="B12" i="37"/>
  <c r="U6" i="37"/>
  <c r="B21" i="37" s="1"/>
  <c r="U5" i="37"/>
  <c r="B5" i="37" s="1"/>
  <c r="U4" i="37"/>
  <c r="B3" i="37" s="1"/>
  <c r="U3" i="37"/>
  <c r="B7" i="37" s="1"/>
  <c r="U2" i="37"/>
  <c r="B6" i="37" s="1"/>
  <c r="S30" i="36"/>
  <c r="R30" i="36"/>
  <c r="U28" i="36"/>
  <c r="U27" i="36"/>
  <c r="U26" i="36"/>
  <c r="B27" i="36"/>
  <c r="U25" i="36"/>
  <c r="B18" i="36" s="1"/>
  <c r="U24" i="36"/>
  <c r="B7" i="36" s="1"/>
  <c r="U23" i="36"/>
  <c r="B28" i="36" s="1"/>
  <c r="U22" i="36"/>
  <c r="B26" i="36" s="1"/>
  <c r="U21" i="36"/>
  <c r="B23" i="36" s="1"/>
  <c r="U20" i="36"/>
  <c r="B25" i="36" s="1"/>
  <c r="U19" i="36"/>
  <c r="B21" i="36" s="1"/>
  <c r="U18" i="36"/>
  <c r="B13" i="36" s="1"/>
  <c r="B10" i="36"/>
  <c r="U17" i="36"/>
  <c r="B11" i="36" s="1"/>
  <c r="U16" i="36"/>
  <c r="B24" i="36" s="1"/>
  <c r="U15" i="36"/>
  <c r="B12" i="36"/>
  <c r="U14" i="36"/>
  <c r="B17" i="36" s="1"/>
  <c r="U13" i="36"/>
  <c r="B20" i="36" s="1"/>
  <c r="U12" i="36"/>
  <c r="B19" i="36"/>
  <c r="U11" i="36"/>
  <c r="B14" i="36" s="1"/>
  <c r="U10" i="36"/>
  <c r="B8" i="36" s="1"/>
  <c r="B9" i="36"/>
  <c r="U9" i="36"/>
  <c r="U8" i="36"/>
  <c r="U7" i="36"/>
  <c r="B22" i="36" s="1"/>
  <c r="B16" i="36"/>
  <c r="U6" i="36"/>
  <c r="B15" i="36" s="1"/>
  <c r="U5" i="36"/>
  <c r="B5" i="36" s="1"/>
  <c r="U4" i="36"/>
  <c r="B6" i="36" s="1"/>
  <c r="U3" i="36"/>
  <c r="B4" i="36" s="1"/>
  <c r="U2" i="36"/>
  <c r="B3" i="36" s="1"/>
  <c r="B2" i="36"/>
  <c r="S30" i="35"/>
  <c r="R30" i="35"/>
  <c r="U28" i="35"/>
  <c r="U27" i="35"/>
  <c r="U26" i="35"/>
  <c r="U25" i="35"/>
  <c r="B11" i="35" s="1"/>
  <c r="B26" i="35"/>
  <c r="U24" i="35"/>
  <c r="B22" i="35" s="1"/>
  <c r="U23" i="35"/>
  <c r="B28" i="35" s="1"/>
  <c r="U22" i="35"/>
  <c r="B24" i="35" s="1"/>
  <c r="U21" i="35"/>
  <c r="U20" i="35"/>
  <c r="B23" i="35" s="1"/>
  <c r="U19" i="35"/>
  <c r="B14" i="35" s="1"/>
  <c r="U18" i="35"/>
  <c r="B19" i="35" s="1"/>
  <c r="U17" i="35"/>
  <c r="B21" i="35" s="1"/>
  <c r="U16" i="35"/>
  <c r="B20" i="35" s="1"/>
  <c r="U15" i="35"/>
  <c r="B15" i="35" s="1"/>
  <c r="U14" i="35"/>
  <c r="U13" i="35"/>
  <c r="B13" i="35" s="1"/>
  <c r="U12" i="35"/>
  <c r="B12" i="35"/>
  <c r="U11" i="35"/>
  <c r="B25" i="35" s="1"/>
  <c r="B18" i="35"/>
  <c r="U10" i="35"/>
  <c r="B3" i="35" s="1"/>
  <c r="B17" i="35"/>
  <c r="U9" i="35"/>
  <c r="B10" i="35" s="1"/>
  <c r="U8" i="35"/>
  <c r="B7" i="35" s="1"/>
  <c r="U7" i="35"/>
  <c r="B16" i="35" s="1"/>
  <c r="U6" i="35"/>
  <c r="B27" i="35" s="1"/>
  <c r="B8" i="35"/>
  <c r="U5" i="35"/>
  <c r="B9" i="35" s="1"/>
  <c r="U4" i="35"/>
  <c r="B5" i="35" s="1"/>
  <c r="U3" i="35"/>
  <c r="B6" i="35"/>
  <c r="U2" i="35"/>
  <c r="B4" i="35" s="1"/>
  <c r="B2" i="35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" i="7"/>
  <c r="AK3" i="7"/>
  <c r="AK4" i="7"/>
  <c r="AK5" i="7"/>
  <c r="AK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" i="7"/>
  <c r="S30" i="34"/>
  <c r="R30" i="34"/>
  <c r="U28" i="34"/>
  <c r="U27" i="34"/>
  <c r="U26" i="34"/>
  <c r="B11" i="34" s="1"/>
  <c r="U25" i="34"/>
  <c r="U24" i="34"/>
  <c r="B19" i="34" s="1"/>
  <c r="U23" i="34"/>
  <c r="B28" i="34" s="1"/>
  <c r="B25" i="34"/>
  <c r="U22" i="34"/>
  <c r="B23" i="34" s="1"/>
  <c r="B17" i="34"/>
  <c r="U21" i="34"/>
  <c r="B10" i="34" s="1"/>
  <c r="B24" i="34"/>
  <c r="U20" i="34"/>
  <c r="B22" i="34" s="1"/>
  <c r="U19" i="34"/>
  <c r="B18" i="34" s="1"/>
  <c r="U18" i="34"/>
  <c r="B14" i="34" s="1"/>
  <c r="U17" i="34"/>
  <c r="B16" i="34" s="1"/>
  <c r="U16" i="34"/>
  <c r="B15" i="34"/>
  <c r="U15" i="34"/>
  <c r="B21" i="34"/>
  <c r="U14" i="34"/>
  <c r="U13" i="34"/>
  <c r="U12" i="34"/>
  <c r="B12" i="34" s="1"/>
  <c r="B4" i="34"/>
  <c r="U11" i="34"/>
  <c r="B6" i="34"/>
  <c r="U10" i="34"/>
  <c r="B7" i="34" s="1"/>
  <c r="U9" i="34"/>
  <c r="B13" i="34" s="1"/>
  <c r="B20" i="34"/>
  <c r="U8" i="34"/>
  <c r="B5" i="34" s="1"/>
  <c r="U7" i="34"/>
  <c r="B27" i="34" s="1"/>
  <c r="U6" i="34"/>
  <c r="B26" i="34" s="1"/>
  <c r="U5" i="34"/>
  <c r="U4" i="34"/>
  <c r="U3" i="34"/>
  <c r="B3" i="34" s="1"/>
  <c r="B9" i="34"/>
  <c r="U2" i="34"/>
  <c r="B8" i="34" s="1"/>
  <c r="B2" i="34"/>
  <c r="AJ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" i="7"/>
  <c r="S30" i="33"/>
  <c r="R30" i="33"/>
  <c r="U28" i="33"/>
  <c r="U27" i="33"/>
  <c r="B28" i="33"/>
  <c r="U26" i="33"/>
  <c r="U25" i="33"/>
  <c r="B9" i="33" s="1"/>
  <c r="U24" i="33"/>
  <c r="U23" i="33"/>
  <c r="B27" i="33" s="1"/>
  <c r="B6" i="33"/>
  <c r="U22" i="33"/>
  <c r="B20" i="33" s="1"/>
  <c r="B18" i="33"/>
  <c r="U21" i="33"/>
  <c r="B17" i="33" s="1"/>
  <c r="B24" i="33"/>
  <c r="U20" i="33"/>
  <c r="B23" i="33"/>
  <c r="U19" i="33"/>
  <c r="U18" i="33"/>
  <c r="U17" i="33"/>
  <c r="B19" i="33" s="1"/>
  <c r="U16" i="33"/>
  <c r="U15" i="33"/>
  <c r="B15" i="33" s="1"/>
  <c r="U14" i="33"/>
  <c r="B11" i="33" s="1"/>
  <c r="B16" i="33"/>
  <c r="U13" i="33"/>
  <c r="B22" i="33" s="1"/>
  <c r="U12" i="33"/>
  <c r="B7" i="33"/>
  <c r="U11" i="33"/>
  <c r="B21" i="33" s="1"/>
  <c r="B13" i="33"/>
  <c r="U10" i="33"/>
  <c r="B4" i="33" s="1"/>
  <c r="U9" i="33"/>
  <c r="B8" i="33" s="1"/>
  <c r="U8" i="33"/>
  <c r="B10" i="33" s="1"/>
  <c r="U7" i="33"/>
  <c r="B26" i="33" s="1"/>
  <c r="U6" i="33"/>
  <c r="B25" i="33" s="1"/>
  <c r="U5" i="33"/>
  <c r="B3" i="33" s="1"/>
  <c r="U4" i="33"/>
  <c r="B12" i="33" s="1"/>
  <c r="U3" i="33"/>
  <c r="B5" i="33" s="1"/>
  <c r="U2" i="33"/>
  <c r="B14" i="33" s="1"/>
  <c r="B2" i="33"/>
  <c r="AH3" i="7"/>
  <c r="AI3" i="7"/>
  <c r="AH4" i="7"/>
  <c r="AI4" i="7"/>
  <c r="AH5" i="7"/>
  <c r="AI5" i="7"/>
  <c r="AH6" i="7"/>
  <c r="AI6" i="7"/>
  <c r="AH7" i="7"/>
  <c r="AI7" i="7"/>
  <c r="AH8" i="7"/>
  <c r="AI8" i="7"/>
  <c r="AH9" i="7"/>
  <c r="AI9" i="7"/>
  <c r="AH10" i="7"/>
  <c r="AI10" i="7"/>
  <c r="AH11" i="7"/>
  <c r="AI11" i="7"/>
  <c r="AH12" i="7"/>
  <c r="AI12" i="7"/>
  <c r="AH13" i="7"/>
  <c r="AI13" i="7"/>
  <c r="AH14" i="7"/>
  <c r="AI14" i="7"/>
  <c r="AH15" i="7"/>
  <c r="AI15" i="7"/>
  <c r="AH16" i="7"/>
  <c r="AI16" i="7"/>
  <c r="AH17" i="7"/>
  <c r="AI17" i="7"/>
  <c r="AH18" i="7"/>
  <c r="AI18" i="7"/>
  <c r="AH19" i="7"/>
  <c r="AI19" i="7"/>
  <c r="AH20" i="7"/>
  <c r="AI20" i="7"/>
  <c r="AH21" i="7"/>
  <c r="AI21" i="7"/>
  <c r="AH22" i="7"/>
  <c r="AI22" i="7"/>
  <c r="AH23" i="7"/>
  <c r="AI23" i="7"/>
  <c r="AH24" i="7"/>
  <c r="AI24" i="7"/>
  <c r="AH25" i="7"/>
  <c r="AI25" i="7"/>
  <c r="AH26" i="7"/>
  <c r="AI26" i="7"/>
  <c r="AH27" i="7"/>
  <c r="AI27" i="7"/>
  <c r="AH28" i="7"/>
  <c r="AI28" i="7"/>
  <c r="AI2" i="7"/>
  <c r="AH2" i="7"/>
  <c r="S30" i="32"/>
  <c r="R30" i="32"/>
  <c r="U28" i="32"/>
  <c r="U27" i="32"/>
  <c r="B20" i="32" s="1"/>
  <c r="U26" i="32"/>
  <c r="B23" i="32" s="1"/>
  <c r="U25" i="32"/>
  <c r="B28" i="32" s="1"/>
  <c r="U24" i="32"/>
  <c r="B27" i="32" s="1"/>
  <c r="U23" i="32"/>
  <c r="B26" i="32" s="1"/>
  <c r="U22" i="32"/>
  <c r="B16" i="32" s="1"/>
  <c r="U21" i="32"/>
  <c r="B18" i="32" s="1"/>
  <c r="U20" i="32"/>
  <c r="B12" i="32"/>
  <c r="U19" i="32"/>
  <c r="B21" i="32" s="1"/>
  <c r="B22" i="32"/>
  <c r="U18" i="32"/>
  <c r="B11" i="32" s="1"/>
  <c r="U17" i="32"/>
  <c r="B10" i="32" s="1"/>
  <c r="U16" i="32"/>
  <c r="U15" i="32"/>
  <c r="B15" i="32" s="1"/>
  <c r="U14" i="32"/>
  <c r="B8" i="32"/>
  <c r="U13" i="32"/>
  <c r="B19" i="32" s="1"/>
  <c r="U12" i="32"/>
  <c r="U11" i="32"/>
  <c r="B17" i="32" s="1"/>
  <c r="U10" i="32"/>
  <c r="B5" i="32"/>
  <c r="U9" i="32"/>
  <c r="B7" i="32" s="1"/>
  <c r="U8" i="32"/>
  <c r="B4" i="32"/>
  <c r="U7" i="32"/>
  <c r="B25" i="32" s="1"/>
  <c r="B14" i="32"/>
  <c r="U6" i="32"/>
  <c r="B24" i="32" s="1"/>
  <c r="U5" i="32"/>
  <c r="B6" i="32" s="1"/>
  <c r="U4" i="32"/>
  <c r="B9" i="32" s="1"/>
  <c r="U3" i="32"/>
  <c r="B3" i="32"/>
  <c r="U2" i="32"/>
  <c r="B13" i="32" s="1"/>
  <c r="B2" i="32"/>
  <c r="S30" i="31"/>
  <c r="R30" i="31"/>
  <c r="U28" i="31"/>
  <c r="U27" i="31"/>
  <c r="U26" i="31"/>
  <c r="B21" i="31" s="1"/>
  <c r="U25" i="31"/>
  <c r="B28" i="31" s="1"/>
  <c r="U24" i="31"/>
  <c r="B27" i="31" s="1"/>
  <c r="U23" i="31"/>
  <c r="B26" i="31" s="1"/>
  <c r="U22" i="31"/>
  <c r="B24" i="31" s="1"/>
  <c r="U21" i="31"/>
  <c r="U20" i="31"/>
  <c r="B19" i="31" s="1"/>
  <c r="U19" i="31"/>
  <c r="B18" i="31" s="1"/>
  <c r="U18" i="31"/>
  <c r="B16" i="31" s="1"/>
  <c r="B20" i="31"/>
  <c r="U17" i="31"/>
  <c r="B12" i="31" s="1"/>
  <c r="U16" i="31"/>
  <c r="B7" i="31" s="1"/>
  <c r="U15" i="31"/>
  <c r="B11" i="31" s="1"/>
  <c r="B17" i="31"/>
  <c r="U14" i="31"/>
  <c r="U13" i="31"/>
  <c r="U12" i="31"/>
  <c r="B15" i="31"/>
  <c r="U11" i="31"/>
  <c r="B25" i="31" s="1"/>
  <c r="B14" i="31"/>
  <c r="U10" i="31"/>
  <c r="B10" i="31" s="1"/>
  <c r="U9" i="31"/>
  <c r="B9" i="31" s="1"/>
  <c r="B13" i="31"/>
  <c r="U8" i="31"/>
  <c r="B8" i="31" s="1"/>
  <c r="U7" i="31"/>
  <c r="B23" i="31" s="1"/>
  <c r="U6" i="31"/>
  <c r="B22" i="31" s="1"/>
  <c r="U5" i="31"/>
  <c r="B6" i="31" s="1"/>
  <c r="U4" i="31"/>
  <c r="B5" i="31" s="1"/>
  <c r="U3" i="31"/>
  <c r="B3" i="31"/>
  <c r="U2" i="31"/>
  <c r="B4" i="31" s="1"/>
  <c r="B2" i="31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" i="7"/>
  <c r="S30" i="30"/>
  <c r="R30" i="30"/>
  <c r="U28" i="30"/>
  <c r="U27" i="30"/>
  <c r="U26" i="30"/>
  <c r="U25" i="30"/>
  <c r="B28" i="30" s="1"/>
  <c r="U24" i="30"/>
  <c r="B27" i="30" s="1"/>
  <c r="U23" i="30"/>
  <c r="B26" i="30" s="1"/>
  <c r="U22" i="30"/>
  <c r="B23" i="30" s="1"/>
  <c r="U21" i="30"/>
  <c r="U20" i="30"/>
  <c r="B17" i="30" s="1"/>
  <c r="U19" i="30"/>
  <c r="B16" i="30" s="1"/>
  <c r="B19" i="30"/>
  <c r="U18" i="30"/>
  <c r="B14" i="30" s="1"/>
  <c r="B18" i="30"/>
  <c r="U17" i="30"/>
  <c r="B24" i="30" s="1"/>
  <c r="U16" i="30"/>
  <c r="U15" i="30"/>
  <c r="B21" i="30" s="1"/>
  <c r="B15" i="30"/>
  <c r="U14" i="30"/>
  <c r="B11" i="30" s="1"/>
  <c r="U13" i="30"/>
  <c r="B12" i="30" s="1"/>
  <c r="B13" i="30"/>
  <c r="U12" i="30"/>
  <c r="U11" i="30"/>
  <c r="B25" i="30" s="1"/>
  <c r="U10" i="30"/>
  <c r="B8" i="30" s="1"/>
  <c r="B10" i="30"/>
  <c r="U9" i="30"/>
  <c r="B5" i="30" s="1"/>
  <c r="B9" i="30"/>
  <c r="U8" i="30"/>
  <c r="B4" i="30" s="1"/>
  <c r="U7" i="30"/>
  <c r="B22" i="30" s="1"/>
  <c r="U6" i="30"/>
  <c r="B20" i="30" s="1"/>
  <c r="U5" i="30"/>
  <c r="B7" i="30" s="1"/>
  <c r="U4" i="30"/>
  <c r="U3" i="30"/>
  <c r="B3" i="30"/>
  <c r="U2" i="30"/>
  <c r="B6" i="30" s="1"/>
  <c r="B2" i="30"/>
  <c r="E2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" i="7"/>
  <c r="R30" i="29"/>
  <c r="S30" i="29"/>
  <c r="U28" i="29"/>
  <c r="U27" i="29"/>
  <c r="B15" i="29"/>
  <c r="U26" i="29"/>
  <c r="U25" i="29"/>
  <c r="B28" i="29" s="1"/>
  <c r="U24" i="29"/>
  <c r="B27" i="29" s="1"/>
  <c r="U23" i="29"/>
  <c r="B26" i="29" s="1"/>
  <c r="U22" i="29"/>
  <c r="B23" i="29" s="1"/>
  <c r="U21" i="29"/>
  <c r="B9" i="29" s="1"/>
  <c r="U20" i="29"/>
  <c r="B17" i="29" s="1"/>
  <c r="U19" i="29"/>
  <c r="B16" i="29" s="1"/>
  <c r="U18" i="29"/>
  <c r="B14" i="29" s="1"/>
  <c r="U17" i="29"/>
  <c r="B24" i="29" s="1"/>
  <c r="U16" i="29"/>
  <c r="B13" i="29" s="1"/>
  <c r="U15" i="29"/>
  <c r="B21" i="29" s="1"/>
  <c r="U14" i="29"/>
  <c r="B19" i="29"/>
  <c r="U13" i="29"/>
  <c r="B12" i="29" s="1"/>
  <c r="B18" i="29"/>
  <c r="U12" i="29"/>
  <c r="U11" i="29"/>
  <c r="B25" i="29" s="1"/>
  <c r="U10" i="29"/>
  <c r="B8" i="29" s="1"/>
  <c r="B11" i="29"/>
  <c r="U9" i="29"/>
  <c r="B5" i="29" s="1"/>
  <c r="B6" i="29"/>
  <c r="U8" i="29"/>
  <c r="B4" i="29" s="1"/>
  <c r="U7" i="29"/>
  <c r="B22" i="29" s="1"/>
  <c r="U6" i="29"/>
  <c r="B20" i="29" s="1"/>
  <c r="U5" i="29"/>
  <c r="B7" i="29" s="1"/>
  <c r="U4" i="29"/>
  <c r="B10" i="29" s="1"/>
  <c r="U3" i="29"/>
  <c r="B3" i="29" s="1"/>
  <c r="U2" i="29"/>
  <c r="B2" i="29"/>
  <c r="AE3" i="7"/>
  <c r="AE4" i="7"/>
  <c r="E4" i="7" s="1"/>
  <c r="AE5" i="7"/>
  <c r="AE6" i="7"/>
  <c r="E6" i="7" s="1"/>
  <c r="AE7" i="7"/>
  <c r="AE8" i="7"/>
  <c r="AE9" i="7"/>
  <c r="AE10" i="7"/>
  <c r="AE11" i="7"/>
  <c r="AE12" i="7"/>
  <c r="E12" i="7" s="1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E2" i="7"/>
  <c r="AD2" i="7"/>
  <c r="U28" i="28"/>
  <c r="U27" i="28"/>
  <c r="B27" i="28" s="1"/>
  <c r="U26" i="28"/>
  <c r="U25" i="28"/>
  <c r="B26" i="28" s="1"/>
  <c r="U24" i="28"/>
  <c r="B25" i="28" s="1"/>
  <c r="U23" i="28"/>
  <c r="U22" i="28"/>
  <c r="B20" i="28" s="1"/>
  <c r="B24" i="28"/>
  <c r="U21" i="28"/>
  <c r="B8" i="28" s="1"/>
  <c r="U20" i="28"/>
  <c r="B11" i="28" s="1"/>
  <c r="U19" i="28"/>
  <c r="B28" i="28" s="1"/>
  <c r="U18" i="28"/>
  <c r="B23" i="28" s="1"/>
  <c r="U17" i="28"/>
  <c r="B21" i="28" s="1"/>
  <c r="U16" i="28"/>
  <c r="B19" i="28" s="1"/>
  <c r="U15" i="28"/>
  <c r="B17" i="28" s="1"/>
  <c r="U14" i="28"/>
  <c r="B10" i="28" s="1"/>
  <c r="B14" i="28"/>
  <c r="U13" i="28"/>
  <c r="B15" i="28" s="1"/>
  <c r="U12" i="28"/>
  <c r="U11" i="28"/>
  <c r="B22" i="28" s="1"/>
  <c r="B13" i="28"/>
  <c r="U10" i="28"/>
  <c r="U9" i="28"/>
  <c r="B5" i="28" s="1"/>
  <c r="B6" i="28"/>
  <c r="U8" i="28"/>
  <c r="B3" i="28" s="1"/>
  <c r="U7" i="28"/>
  <c r="B18" i="28" s="1"/>
  <c r="U6" i="28"/>
  <c r="B16" i="28" s="1"/>
  <c r="U5" i="28"/>
  <c r="B12" i="28" s="1"/>
  <c r="U4" i="28"/>
  <c r="B7" i="28" s="1"/>
  <c r="U3" i="28"/>
  <c r="B4" i="28"/>
  <c r="U2" i="28"/>
  <c r="B9" i="28" s="1"/>
  <c r="B2" i="28"/>
  <c r="U28" i="27"/>
  <c r="U27" i="27"/>
  <c r="B27" i="27"/>
  <c r="U26" i="27"/>
  <c r="B14" i="27" s="1"/>
  <c r="U25" i="27"/>
  <c r="B26" i="27" s="1"/>
  <c r="U24" i="27"/>
  <c r="B24" i="27" s="1"/>
  <c r="U23" i="27"/>
  <c r="B22" i="27" s="1"/>
  <c r="U22" i="27"/>
  <c r="B17" i="27" s="1"/>
  <c r="U21" i="27"/>
  <c r="B21" i="27" s="1"/>
  <c r="U20" i="27"/>
  <c r="B23" i="27" s="1"/>
  <c r="U19" i="27"/>
  <c r="B28" i="27" s="1"/>
  <c r="U18" i="27"/>
  <c r="B20" i="27" s="1"/>
  <c r="U17" i="27"/>
  <c r="B18" i="27" s="1"/>
  <c r="U16" i="27"/>
  <c r="B10" i="27" s="1"/>
  <c r="U15" i="27"/>
  <c r="B12" i="27" s="1"/>
  <c r="U14" i="27"/>
  <c r="B13" i="27" s="1"/>
  <c r="U13" i="27"/>
  <c r="B16" i="27" s="1"/>
  <c r="U12" i="27"/>
  <c r="B11" i="27" s="1"/>
  <c r="U11" i="27"/>
  <c r="B19" i="27" s="1"/>
  <c r="U10" i="27"/>
  <c r="B9" i="27" s="1"/>
  <c r="U9" i="27"/>
  <c r="B7" i="27" s="1"/>
  <c r="U8" i="27"/>
  <c r="B4" i="27" s="1"/>
  <c r="U7" i="27"/>
  <c r="B15" i="27" s="1"/>
  <c r="U6" i="27"/>
  <c r="B25" i="27" s="1"/>
  <c r="U5" i="27"/>
  <c r="B5" i="27" s="1"/>
  <c r="U4" i="27"/>
  <c r="U3" i="27"/>
  <c r="B3" i="27" s="1"/>
  <c r="B6" i="27"/>
  <c r="U2" i="27"/>
  <c r="B8" i="27" s="1"/>
  <c r="B2" i="27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" i="7"/>
  <c r="U28" i="26"/>
  <c r="U27" i="26"/>
  <c r="B27" i="26" s="1"/>
  <c r="U26" i="26"/>
  <c r="U25" i="26"/>
  <c r="B26" i="26" s="1"/>
  <c r="U24" i="26"/>
  <c r="B24" i="26" s="1"/>
  <c r="U23" i="26"/>
  <c r="U22" i="26"/>
  <c r="B16" i="26" s="1"/>
  <c r="B22" i="26"/>
  <c r="U21" i="26"/>
  <c r="B20" i="26" s="1"/>
  <c r="U20" i="26"/>
  <c r="B23" i="26" s="1"/>
  <c r="U19" i="26"/>
  <c r="B28" i="26" s="1"/>
  <c r="U18" i="26"/>
  <c r="B19" i="26" s="1"/>
  <c r="U17" i="26"/>
  <c r="B21" i="26" s="1"/>
  <c r="U16" i="26"/>
  <c r="B10" i="26" s="1"/>
  <c r="U15" i="26"/>
  <c r="B14" i="26" s="1"/>
  <c r="U14" i="26"/>
  <c r="B12" i="26"/>
  <c r="U13" i="26"/>
  <c r="B17" i="26" s="1"/>
  <c r="U12" i="26"/>
  <c r="B13" i="26" s="1"/>
  <c r="U11" i="26"/>
  <c r="B18" i="26" s="1"/>
  <c r="B11" i="26"/>
  <c r="U10" i="26"/>
  <c r="B5" i="26" s="1"/>
  <c r="B9" i="26"/>
  <c r="U9" i="26"/>
  <c r="B7" i="26" s="1"/>
  <c r="U8" i="26"/>
  <c r="B6" i="26" s="1"/>
  <c r="U7" i="26"/>
  <c r="B15" i="26" s="1"/>
  <c r="U6" i="26"/>
  <c r="B25" i="26" s="1"/>
  <c r="U5" i="26"/>
  <c r="B8" i="26" s="1"/>
  <c r="U4" i="26"/>
  <c r="B3" i="26" s="1"/>
  <c r="U3" i="26"/>
  <c r="B4" i="26" s="1"/>
  <c r="U2" i="26"/>
  <c r="B2" i="26"/>
  <c r="E3" i="7"/>
  <c r="E5" i="7"/>
  <c r="E7" i="7"/>
  <c r="E19" i="7"/>
  <c r="E20" i="7"/>
  <c r="E21" i="7"/>
  <c r="E22" i="7"/>
  <c r="E23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" i="7"/>
  <c r="U28" i="25"/>
  <c r="U27" i="25"/>
  <c r="U26" i="25"/>
  <c r="B27" i="25"/>
  <c r="U25" i="25"/>
  <c r="U24" i="25"/>
  <c r="B24" i="25" s="1"/>
  <c r="U23" i="25"/>
  <c r="B22" i="25" s="1"/>
  <c r="U22" i="25"/>
  <c r="B13" i="25" s="1"/>
  <c r="B26" i="25"/>
  <c r="U21" i="25"/>
  <c r="B20" i="25" s="1"/>
  <c r="U20" i="25"/>
  <c r="U19" i="25"/>
  <c r="B28" i="25" s="1"/>
  <c r="B23" i="25"/>
  <c r="U18" i="25"/>
  <c r="B19" i="25" s="1"/>
  <c r="U17" i="25"/>
  <c r="B21" i="25" s="1"/>
  <c r="U16" i="25"/>
  <c r="B9" i="25" s="1"/>
  <c r="U15" i="25"/>
  <c r="B16" i="25"/>
  <c r="U14" i="25"/>
  <c r="B10" i="25" s="1"/>
  <c r="U13" i="25"/>
  <c r="B17" i="25" s="1"/>
  <c r="B14" i="25"/>
  <c r="U12" i="25"/>
  <c r="B15" i="25" s="1"/>
  <c r="U11" i="25"/>
  <c r="B18" i="25" s="1"/>
  <c r="B11" i="25"/>
  <c r="U10" i="25"/>
  <c r="B4" i="25" s="1"/>
  <c r="U9" i="25"/>
  <c r="B8" i="25" s="1"/>
  <c r="U8" i="25"/>
  <c r="B6" i="25" s="1"/>
  <c r="U7" i="25"/>
  <c r="B12" i="25" s="1"/>
  <c r="U6" i="25"/>
  <c r="B25" i="25" s="1"/>
  <c r="U5" i="25"/>
  <c r="B7" i="25" s="1"/>
  <c r="U4" i="25"/>
  <c r="B3" i="25" s="1"/>
  <c r="U3" i="25"/>
  <c r="B5" i="25" s="1"/>
  <c r="U2" i="25"/>
  <c r="B2" i="25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" i="7"/>
  <c r="U28" i="24"/>
  <c r="U27" i="24"/>
  <c r="U26" i="24"/>
  <c r="U25" i="24"/>
  <c r="B22" i="24" s="1"/>
  <c r="B26" i="24"/>
  <c r="U24" i="24"/>
  <c r="U23" i="24"/>
  <c r="B17" i="24" s="1"/>
  <c r="U22" i="24"/>
  <c r="B28" i="24" s="1"/>
  <c r="U21" i="24"/>
  <c r="B25" i="24" s="1"/>
  <c r="B23" i="24"/>
  <c r="U20" i="24"/>
  <c r="B19" i="24" s="1"/>
  <c r="U19" i="24"/>
  <c r="B27" i="24" s="1"/>
  <c r="U18" i="24"/>
  <c r="B24" i="24" s="1"/>
  <c r="U17" i="24"/>
  <c r="B16" i="24" s="1"/>
  <c r="B20" i="24"/>
  <c r="U16" i="24"/>
  <c r="U15" i="24"/>
  <c r="B15" i="24" s="1"/>
  <c r="B14" i="24"/>
  <c r="U14" i="24"/>
  <c r="B10" i="24" s="1"/>
  <c r="U13" i="24"/>
  <c r="B18" i="24" s="1"/>
  <c r="U12" i="24"/>
  <c r="B13" i="24"/>
  <c r="U11" i="24"/>
  <c r="U10" i="24"/>
  <c r="B8" i="24" s="1"/>
  <c r="B11" i="24"/>
  <c r="U9" i="24"/>
  <c r="B6" i="24" s="1"/>
  <c r="U8" i="24"/>
  <c r="U7" i="24"/>
  <c r="B12" i="24" s="1"/>
  <c r="B7" i="24"/>
  <c r="U6" i="24"/>
  <c r="B21" i="24" s="1"/>
  <c r="B3" i="24"/>
  <c r="U5" i="24"/>
  <c r="B9" i="24" s="1"/>
  <c r="U4" i="24"/>
  <c r="U3" i="24"/>
  <c r="B5" i="24" s="1"/>
  <c r="B4" i="24"/>
  <c r="U2" i="24"/>
  <c r="B2" i="24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" i="7"/>
  <c r="U28" i="23"/>
  <c r="U27" i="23"/>
  <c r="B25" i="23" s="1"/>
  <c r="U26" i="23"/>
  <c r="U25" i="23"/>
  <c r="B20" i="23" s="1"/>
  <c r="U24" i="23"/>
  <c r="B17" i="23" s="1"/>
  <c r="U23" i="23"/>
  <c r="B27" i="23" s="1"/>
  <c r="U22" i="23"/>
  <c r="B28" i="23" s="1"/>
  <c r="U21" i="23"/>
  <c r="B24" i="23" s="1"/>
  <c r="U20" i="23"/>
  <c r="B14" i="23" s="1"/>
  <c r="U19" i="23"/>
  <c r="B26" i="23" s="1"/>
  <c r="U18" i="23"/>
  <c r="B23" i="23" s="1"/>
  <c r="U17" i="23"/>
  <c r="B22" i="23" s="1"/>
  <c r="U16" i="23"/>
  <c r="B7" i="23" s="1"/>
  <c r="U15" i="23"/>
  <c r="B19" i="23" s="1"/>
  <c r="U14" i="23"/>
  <c r="B16" i="23" s="1"/>
  <c r="U13" i="23"/>
  <c r="B9" i="23" s="1"/>
  <c r="B12" i="23"/>
  <c r="U12" i="23"/>
  <c r="B15" i="23" s="1"/>
  <c r="U11" i="23"/>
  <c r="B21" i="23" s="1"/>
  <c r="B13" i="23"/>
  <c r="U10" i="23"/>
  <c r="B11" i="23" s="1"/>
  <c r="B10" i="23"/>
  <c r="U9" i="23"/>
  <c r="B4" i="23" s="1"/>
  <c r="U8" i="23"/>
  <c r="U7" i="23"/>
  <c r="B6" i="23"/>
  <c r="U6" i="23"/>
  <c r="B18" i="23" s="1"/>
  <c r="U5" i="23"/>
  <c r="U4" i="23"/>
  <c r="B3" i="23" s="1"/>
  <c r="B8" i="23"/>
  <c r="U3" i="23"/>
  <c r="B5" i="23" s="1"/>
  <c r="U2" i="23"/>
  <c r="B2" i="23"/>
  <c r="Y3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" i="7"/>
  <c r="U28" i="22"/>
  <c r="U27" i="22"/>
  <c r="U26" i="22"/>
  <c r="U25" i="22"/>
  <c r="B25" i="22"/>
  <c r="U24" i="22"/>
  <c r="U23" i="22"/>
  <c r="B27" i="22" s="1"/>
  <c r="B23" i="22"/>
  <c r="U22" i="22"/>
  <c r="B28" i="22" s="1"/>
  <c r="B18" i="22"/>
  <c r="U21" i="22"/>
  <c r="B24" i="22" s="1"/>
  <c r="U20" i="22"/>
  <c r="B15" i="22" s="1"/>
  <c r="U19" i="22"/>
  <c r="B26" i="22" s="1"/>
  <c r="U18" i="22"/>
  <c r="B22" i="22" s="1"/>
  <c r="U17" i="22"/>
  <c r="B17" i="22" s="1"/>
  <c r="U16" i="22"/>
  <c r="B9" i="22" s="1"/>
  <c r="B19" i="22"/>
  <c r="U15" i="22"/>
  <c r="B21" i="22" s="1"/>
  <c r="U14" i="22"/>
  <c r="U13" i="22"/>
  <c r="B5" i="22" s="1"/>
  <c r="U12" i="22"/>
  <c r="U11" i="22"/>
  <c r="B16" i="22" s="1"/>
  <c r="U10" i="22"/>
  <c r="B12" i="22" s="1"/>
  <c r="B14" i="22"/>
  <c r="U9" i="22"/>
  <c r="B8" i="22" s="1"/>
  <c r="U8" i="22"/>
  <c r="B7" i="22" s="1"/>
  <c r="B13" i="22"/>
  <c r="U7" i="22"/>
  <c r="B11" i="22" s="1"/>
  <c r="U6" i="22"/>
  <c r="B20" i="22" s="1"/>
  <c r="U5" i="22"/>
  <c r="B4" i="22" s="1"/>
  <c r="U4" i="22"/>
  <c r="U3" i="22"/>
  <c r="B6" i="22" s="1"/>
  <c r="B3" i="22"/>
  <c r="U2" i="22"/>
  <c r="B10" i="22" s="1"/>
  <c r="B2" i="22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" i="7"/>
  <c r="U28" i="21"/>
  <c r="U27" i="21"/>
  <c r="U26" i="21"/>
  <c r="U25" i="21"/>
  <c r="U24" i="21"/>
  <c r="U23" i="21"/>
  <c r="U22" i="21"/>
  <c r="U21" i="21"/>
  <c r="B24" i="21" s="1"/>
  <c r="U20" i="21"/>
  <c r="B14" i="21" s="1"/>
  <c r="U19" i="21"/>
  <c r="B26" i="21" s="1"/>
  <c r="U18" i="21"/>
  <c r="B21" i="21" s="1"/>
  <c r="U17" i="21"/>
  <c r="B18" i="21" s="1"/>
  <c r="U16" i="21"/>
  <c r="B7" i="21" s="1"/>
  <c r="U15" i="21"/>
  <c r="B20" i="21" s="1"/>
  <c r="U14" i="21"/>
  <c r="B22" i="21" s="1"/>
  <c r="U13" i="21"/>
  <c r="B15" i="21" s="1"/>
  <c r="U12" i="21"/>
  <c r="U11" i="21"/>
  <c r="U10" i="21"/>
  <c r="U9" i="21"/>
  <c r="U8" i="21"/>
  <c r="B5" i="21" s="1"/>
  <c r="U7" i="21"/>
  <c r="B12" i="21" s="1"/>
  <c r="U6" i="21"/>
  <c r="B19" i="21" s="1"/>
  <c r="U5" i="21"/>
  <c r="B6" i="21" s="1"/>
  <c r="U4" i="21"/>
  <c r="B3" i="21" s="1"/>
  <c r="U3" i="21"/>
  <c r="B4" i="21" s="1"/>
  <c r="U2" i="21"/>
  <c r="B11" i="21" s="1"/>
  <c r="U3" i="20"/>
  <c r="U4" i="20"/>
  <c r="U5" i="20"/>
  <c r="U6" i="20"/>
  <c r="U7" i="20"/>
  <c r="U8" i="20"/>
  <c r="U9" i="20"/>
  <c r="U10" i="20"/>
  <c r="U11" i="20"/>
  <c r="U12" i="20"/>
  <c r="B11" i="20" s="1"/>
  <c r="W19" i="7" s="1"/>
  <c r="U13" i="20"/>
  <c r="B13" i="20" s="1"/>
  <c r="W16" i="7" s="1"/>
  <c r="U14" i="20"/>
  <c r="B19" i="20" s="1"/>
  <c r="W10" i="7" s="1"/>
  <c r="U15" i="20"/>
  <c r="B16" i="20" s="1"/>
  <c r="W11" i="7" s="1"/>
  <c r="U16" i="20"/>
  <c r="U17" i="20"/>
  <c r="U18" i="20"/>
  <c r="B18" i="20" s="1"/>
  <c r="W18" i="7" s="1"/>
  <c r="U19" i="20"/>
  <c r="U20" i="20"/>
  <c r="U21" i="20"/>
  <c r="U22" i="20"/>
  <c r="U23" i="20"/>
  <c r="B27" i="20" s="1"/>
  <c r="W25" i="7" s="1"/>
  <c r="U24" i="20"/>
  <c r="U25" i="20"/>
  <c r="B21" i="20" s="1"/>
  <c r="W23" i="7" s="1"/>
  <c r="U26" i="20"/>
  <c r="B10" i="20" s="1"/>
  <c r="W17" i="7" s="1"/>
  <c r="U27" i="20"/>
  <c r="B23" i="20" s="1"/>
  <c r="W28" i="7" s="1"/>
  <c r="U28" i="20"/>
  <c r="U2" i="20"/>
  <c r="B14" i="20"/>
  <c r="W9" i="7" s="1"/>
  <c r="B8" i="20"/>
  <c r="W12" i="7" s="1"/>
  <c r="B17" i="20"/>
  <c r="W7" i="7" s="1"/>
  <c r="B9" i="20"/>
  <c r="W13" i="7" s="1"/>
  <c r="B12" i="20"/>
  <c r="W15" i="7" s="1"/>
  <c r="B25" i="20"/>
  <c r="W24" i="7" s="1"/>
  <c r="B28" i="21"/>
  <c r="B27" i="21"/>
  <c r="B17" i="21"/>
  <c r="B16" i="21"/>
  <c r="B25" i="21"/>
  <c r="B23" i="21"/>
  <c r="B13" i="21"/>
  <c r="B10" i="21"/>
  <c r="B8" i="21"/>
  <c r="B9" i="21"/>
  <c r="B2" i="21"/>
  <c r="U3" i="7"/>
  <c r="V3" i="7"/>
  <c r="U4" i="7"/>
  <c r="V4" i="7"/>
  <c r="U5" i="7"/>
  <c r="V5" i="7"/>
  <c r="U6" i="7"/>
  <c r="V6" i="7"/>
  <c r="U7" i="7"/>
  <c r="V7" i="7"/>
  <c r="U8" i="7"/>
  <c r="V8" i="7"/>
  <c r="U9" i="7"/>
  <c r="V9" i="7"/>
  <c r="U10" i="7"/>
  <c r="V10" i="7"/>
  <c r="U11" i="7"/>
  <c r="V11" i="7"/>
  <c r="U12" i="7"/>
  <c r="V12" i="7"/>
  <c r="U13" i="7"/>
  <c r="V13" i="7"/>
  <c r="U14" i="7"/>
  <c r="V14" i="7"/>
  <c r="U15" i="7"/>
  <c r="V15" i="7"/>
  <c r="U16" i="7"/>
  <c r="V16" i="7"/>
  <c r="U17" i="7"/>
  <c r="V17" i="7"/>
  <c r="U18" i="7"/>
  <c r="V18" i="7"/>
  <c r="U19" i="7"/>
  <c r="V19" i="7"/>
  <c r="U20" i="7"/>
  <c r="V20" i="7"/>
  <c r="U21" i="7"/>
  <c r="V21" i="7"/>
  <c r="U22" i="7"/>
  <c r="V22" i="7"/>
  <c r="U23" i="7"/>
  <c r="V23" i="7"/>
  <c r="U24" i="7"/>
  <c r="V24" i="7"/>
  <c r="U25" i="7"/>
  <c r="V25" i="7"/>
  <c r="U26" i="7"/>
  <c r="V26" i="7"/>
  <c r="U27" i="7"/>
  <c r="V27" i="7"/>
  <c r="U28" i="7"/>
  <c r="V28" i="7"/>
  <c r="V2" i="7"/>
  <c r="U2" i="7"/>
  <c r="B5" i="20"/>
  <c r="W4" i="7" s="1"/>
  <c r="B26" i="20"/>
  <c r="W21" i="7" s="1"/>
  <c r="B2" i="20"/>
  <c r="W2" i="7" s="1"/>
  <c r="B24" i="20"/>
  <c r="W27" i="7" s="1"/>
  <c r="B28" i="20"/>
  <c r="W26" i="7" s="1"/>
  <c r="B15" i="20"/>
  <c r="W14" i="7" s="1"/>
  <c r="B22" i="20"/>
  <c r="W20" i="7" s="1"/>
  <c r="B20" i="20"/>
  <c r="W22" i="7" s="1"/>
  <c r="B6" i="20"/>
  <c r="W8" i="7" s="1"/>
  <c r="B4" i="20"/>
  <c r="W5" i="7" s="1"/>
  <c r="B7" i="20"/>
  <c r="W6" i="7" s="1"/>
  <c r="B3" i="20"/>
  <c r="W3" i="7" s="1"/>
  <c r="U28" i="19"/>
  <c r="B19" i="19"/>
  <c r="U27" i="19"/>
  <c r="U26" i="19"/>
  <c r="U25" i="19"/>
  <c r="U24" i="19"/>
  <c r="B24" i="19" s="1"/>
  <c r="U23" i="19"/>
  <c r="B27" i="19" s="1"/>
  <c r="U22" i="19"/>
  <c r="B28" i="19" s="1"/>
  <c r="U21" i="19"/>
  <c r="B18" i="19" s="1"/>
  <c r="B17" i="19"/>
  <c r="U20" i="19"/>
  <c r="U19" i="19"/>
  <c r="B23" i="19"/>
  <c r="U18" i="19"/>
  <c r="B21" i="19" s="1"/>
  <c r="B16" i="19"/>
  <c r="U17" i="19"/>
  <c r="B20" i="19" s="1"/>
  <c r="U16" i="19"/>
  <c r="B8" i="19"/>
  <c r="U15" i="19"/>
  <c r="B25" i="19" s="1"/>
  <c r="U14" i="19"/>
  <c r="U13" i="19"/>
  <c r="B10" i="19"/>
  <c r="U12" i="19"/>
  <c r="B14" i="19" s="1"/>
  <c r="U11" i="19"/>
  <c r="B26" i="19" s="1"/>
  <c r="B4" i="19"/>
  <c r="U10" i="19"/>
  <c r="B15" i="19" s="1"/>
  <c r="U9" i="19"/>
  <c r="B6" i="19" s="1"/>
  <c r="U8" i="19"/>
  <c r="B7" i="19" s="1"/>
  <c r="U7" i="19"/>
  <c r="B11" i="19" s="1"/>
  <c r="B13" i="19"/>
  <c r="U6" i="19"/>
  <c r="B22" i="19" s="1"/>
  <c r="B12" i="19"/>
  <c r="U5" i="19"/>
  <c r="B9" i="19" s="1"/>
  <c r="U4" i="19"/>
  <c r="B5" i="19" s="1"/>
  <c r="U3" i="19"/>
  <c r="B3" i="19" s="1"/>
  <c r="U2" i="19"/>
  <c r="B2" i="19"/>
  <c r="U28" i="18"/>
  <c r="U27" i="18"/>
  <c r="B28" i="18" s="1"/>
  <c r="U26" i="18"/>
  <c r="U25" i="18"/>
  <c r="B21" i="18" s="1"/>
  <c r="U24" i="18"/>
  <c r="B20" i="18" s="1"/>
  <c r="U23" i="18"/>
  <c r="U22" i="18"/>
  <c r="B27" i="18" s="1"/>
  <c r="B26" i="18"/>
  <c r="U21" i="18"/>
  <c r="B23" i="18" s="1"/>
  <c r="U20" i="18"/>
  <c r="B18" i="18" s="1"/>
  <c r="U19" i="18"/>
  <c r="B19" i="18" s="1"/>
  <c r="U18" i="18"/>
  <c r="B12" i="18" s="1"/>
  <c r="U17" i="18"/>
  <c r="B10" i="18" s="1"/>
  <c r="U16" i="18"/>
  <c r="B16" i="18" s="1"/>
  <c r="U15" i="18"/>
  <c r="B24" i="18" s="1"/>
  <c r="U14" i="18"/>
  <c r="B7" i="18" s="1"/>
  <c r="U13" i="18"/>
  <c r="B13" i="18" s="1"/>
  <c r="U12" i="18"/>
  <c r="B14" i="18" s="1"/>
  <c r="U11" i="18"/>
  <c r="B25" i="18" s="1"/>
  <c r="U10" i="18"/>
  <c r="B17" i="18" s="1"/>
  <c r="B6" i="18"/>
  <c r="U9" i="18"/>
  <c r="B8" i="18" s="1"/>
  <c r="U8" i="18"/>
  <c r="B4" i="18" s="1"/>
  <c r="U7" i="18"/>
  <c r="B22" i="18" s="1"/>
  <c r="U6" i="18"/>
  <c r="B15" i="18" s="1"/>
  <c r="U5" i="18"/>
  <c r="B9" i="18" s="1"/>
  <c r="U4" i="18"/>
  <c r="B5" i="18" s="1"/>
  <c r="U3" i="18"/>
  <c r="B3" i="18" s="1"/>
  <c r="U2" i="18"/>
  <c r="B11" i="18" s="1"/>
  <c r="B2" i="18"/>
  <c r="B112" i="7"/>
  <c r="D86" i="7" s="1"/>
  <c r="E14" i="7" l="1"/>
  <c r="E13" i="7"/>
  <c r="E28" i="7"/>
  <c r="E18" i="7"/>
  <c r="E17" i="7"/>
  <c r="E27" i="7"/>
  <c r="E11" i="7"/>
  <c r="E26" i="7"/>
  <c r="E10" i="7"/>
  <c r="E25" i="7"/>
  <c r="E9" i="7"/>
  <c r="E16" i="7"/>
  <c r="E15" i="7"/>
  <c r="E24" i="7"/>
  <c r="E8" i="7"/>
  <c r="D96" i="7"/>
  <c r="D101" i="7"/>
  <c r="D98" i="7"/>
  <c r="D91" i="7"/>
  <c r="D99" i="7"/>
  <c r="D90" i="7"/>
  <c r="D89" i="7"/>
  <c r="D88" i="7"/>
  <c r="D100" i="7"/>
  <c r="D97" i="7"/>
  <c r="D87" i="7"/>
  <c r="D85" i="7"/>
  <c r="D95" i="7"/>
  <c r="D110" i="7"/>
  <c r="D94" i="7"/>
  <c r="D109" i="7"/>
  <c r="D93" i="7"/>
  <c r="D108" i="7"/>
  <c r="D92" i="7"/>
  <c r="D107" i="7"/>
  <c r="D106" i="7"/>
  <c r="D105" i="7"/>
  <c r="D104" i="7"/>
  <c r="D103" i="7"/>
  <c r="D10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" i="7"/>
  <c r="Y28" i="17"/>
  <c r="B28" i="17"/>
  <c r="Y27" i="17"/>
  <c r="Y26" i="17"/>
  <c r="Y25" i="17"/>
  <c r="B27" i="17" s="1"/>
  <c r="Y24" i="17"/>
  <c r="B26" i="17" s="1"/>
  <c r="Y23" i="17"/>
  <c r="Y22" i="17"/>
  <c r="B23" i="17" s="1"/>
  <c r="Y21" i="17"/>
  <c r="B14" i="17" s="1"/>
  <c r="B19" i="17"/>
  <c r="Y20" i="17"/>
  <c r="B24" i="17" s="1"/>
  <c r="Y19" i="17"/>
  <c r="B25" i="17" s="1"/>
  <c r="B22" i="17"/>
  <c r="Y18" i="17"/>
  <c r="B12" i="17" s="1"/>
  <c r="Y17" i="17"/>
  <c r="B9" i="17" s="1"/>
  <c r="Y16" i="17"/>
  <c r="B15" i="17" s="1"/>
  <c r="Y15" i="17"/>
  <c r="Y14" i="17"/>
  <c r="B18" i="17" s="1"/>
  <c r="Y13" i="17"/>
  <c r="B17" i="17"/>
  <c r="Y12" i="17"/>
  <c r="B20" i="17" s="1"/>
  <c r="Y11" i="17"/>
  <c r="B21" i="17" s="1"/>
  <c r="Y10" i="17"/>
  <c r="B16" i="17"/>
  <c r="Y9" i="17"/>
  <c r="B8" i="17" s="1"/>
  <c r="Y8" i="17"/>
  <c r="B3" i="17" s="1"/>
  <c r="Y7" i="17"/>
  <c r="B13" i="17" s="1"/>
  <c r="Y6" i="17"/>
  <c r="B11" i="17" s="1"/>
  <c r="B10" i="17"/>
  <c r="Y5" i="17"/>
  <c r="B6" i="17" s="1"/>
  <c r="Y4" i="17"/>
  <c r="B5" i="17" s="1"/>
  <c r="B4" i="17"/>
  <c r="Y3" i="17"/>
  <c r="Y2" i="17"/>
  <c r="B7" i="17" s="1"/>
  <c r="B2" i="1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" i="7"/>
  <c r="Y28" i="16"/>
  <c r="B28" i="16"/>
  <c r="Y27" i="16"/>
  <c r="Y26" i="16"/>
  <c r="Y25" i="16"/>
  <c r="B27" i="16" s="1"/>
  <c r="Y24" i="16"/>
  <c r="B26" i="16" s="1"/>
  <c r="Y23" i="16"/>
  <c r="B19" i="16" s="1"/>
  <c r="Y22" i="16"/>
  <c r="B18" i="16"/>
  <c r="Y21" i="16"/>
  <c r="B23" i="16"/>
  <c r="Y20" i="16"/>
  <c r="B24" i="16" s="1"/>
  <c r="B22" i="16"/>
  <c r="Y19" i="16"/>
  <c r="B25" i="16" s="1"/>
  <c r="Y18" i="16"/>
  <c r="B14" i="16"/>
  <c r="Y17" i="16"/>
  <c r="B15" i="16" s="1"/>
  <c r="Y16" i="16"/>
  <c r="B8" i="16" s="1"/>
  <c r="Y15" i="16"/>
  <c r="Y14" i="16"/>
  <c r="B16" i="16"/>
  <c r="Y13" i="16"/>
  <c r="B21" i="16" s="1"/>
  <c r="B20" i="16"/>
  <c r="Y12" i="16"/>
  <c r="Y11" i="16"/>
  <c r="B17" i="16" s="1"/>
  <c r="Y10" i="16"/>
  <c r="Y9" i="16"/>
  <c r="B9" i="16" s="1"/>
  <c r="B10" i="16"/>
  <c r="Y8" i="16"/>
  <c r="B5" i="16" s="1"/>
  <c r="B6" i="16"/>
  <c r="Y7" i="16"/>
  <c r="B13" i="16"/>
  <c r="Y6" i="16"/>
  <c r="B12" i="16" s="1"/>
  <c r="Y5" i="16"/>
  <c r="B11" i="16" s="1"/>
  <c r="Y4" i="16"/>
  <c r="B3" i="16"/>
  <c r="Y3" i="16"/>
  <c r="B4" i="16" s="1"/>
  <c r="Y2" i="16"/>
  <c r="B7" i="16" s="1"/>
  <c r="B2" i="16"/>
  <c r="R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Q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R28" i="7"/>
  <c r="Y28" i="15"/>
  <c r="Y27" i="15"/>
  <c r="B28" i="15" s="1"/>
  <c r="Y26" i="15"/>
  <c r="Y25" i="15"/>
  <c r="B27" i="15" s="1"/>
  <c r="Y24" i="15"/>
  <c r="B26" i="15" s="1"/>
  <c r="Y23" i="15"/>
  <c r="B25" i="15" s="1"/>
  <c r="Y22" i="15"/>
  <c r="B22" i="15"/>
  <c r="Y21" i="15"/>
  <c r="B13" i="15" s="1"/>
  <c r="B21" i="15"/>
  <c r="Y20" i="15"/>
  <c r="B23" i="15" s="1"/>
  <c r="B17" i="15"/>
  <c r="Y19" i="15"/>
  <c r="B24" i="15" s="1"/>
  <c r="Y18" i="15"/>
  <c r="B18" i="15" s="1"/>
  <c r="Y17" i="15"/>
  <c r="B19" i="15"/>
  <c r="Y16" i="15"/>
  <c r="Y15" i="15"/>
  <c r="B7" i="15" s="1"/>
  <c r="Y14" i="15"/>
  <c r="Y13" i="15"/>
  <c r="B15" i="15" s="1"/>
  <c r="B12" i="15"/>
  <c r="Y12" i="15"/>
  <c r="B20" i="15" s="1"/>
  <c r="Y11" i="15"/>
  <c r="B14" i="15"/>
  <c r="Y10" i="15"/>
  <c r="B9" i="15" s="1"/>
  <c r="B8" i="15"/>
  <c r="Y9" i="15"/>
  <c r="B11" i="15" s="1"/>
  <c r="Y8" i="15"/>
  <c r="B3" i="15" s="1"/>
  <c r="B10" i="15"/>
  <c r="Y7" i="15"/>
  <c r="Y6" i="15"/>
  <c r="B16" i="15" s="1"/>
  <c r="Y5" i="15"/>
  <c r="Y4" i="15"/>
  <c r="B4" i="15" s="1"/>
  <c r="Y3" i="15"/>
  <c r="B5" i="15" s="1"/>
  <c r="Y2" i="15"/>
  <c r="B6" i="15" s="1"/>
  <c r="B2" i="15"/>
  <c r="P28" i="7"/>
  <c r="Q28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" i="7"/>
  <c r="Y28" i="14"/>
  <c r="B28" i="14"/>
  <c r="Y27" i="14"/>
  <c r="Y26" i="14"/>
  <c r="Y25" i="14"/>
  <c r="B27" i="14" s="1"/>
  <c r="Y24" i="14"/>
  <c r="B26" i="14" s="1"/>
  <c r="Y23" i="14"/>
  <c r="B25" i="14" s="1"/>
  <c r="Y22" i="14"/>
  <c r="Y21" i="14"/>
  <c r="B19" i="14" s="1"/>
  <c r="Y20" i="14"/>
  <c r="B23" i="14" s="1"/>
  <c r="Y19" i="14"/>
  <c r="B24" i="14" s="1"/>
  <c r="Y18" i="14"/>
  <c r="B16" i="14" s="1"/>
  <c r="Y17" i="14"/>
  <c r="B17" i="14" s="1"/>
  <c r="B21" i="14"/>
  <c r="Y16" i="14"/>
  <c r="B8" i="14" s="1"/>
  <c r="Y15" i="14"/>
  <c r="Y14" i="14"/>
  <c r="B22" i="14" s="1"/>
  <c r="Y13" i="14"/>
  <c r="B14" i="14" s="1"/>
  <c r="Y12" i="14"/>
  <c r="B18" i="14" s="1"/>
  <c r="Y11" i="14"/>
  <c r="B20" i="14" s="1"/>
  <c r="B9" i="14"/>
  <c r="Y10" i="14"/>
  <c r="B7" i="14" s="1"/>
  <c r="Y9" i="14"/>
  <c r="B12" i="14" s="1"/>
  <c r="Y8" i="14"/>
  <c r="B4" i="14" s="1"/>
  <c r="B10" i="14"/>
  <c r="Y7" i="14"/>
  <c r="B11" i="14" s="1"/>
  <c r="Y6" i="14"/>
  <c r="B15" i="14" s="1"/>
  <c r="Y5" i="14"/>
  <c r="B13" i="14" s="1"/>
  <c r="Y4" i="14"/>
  <c r="Y3" i="14"/>
  <c r="B3" i="14" s="1"/>
  <c r="B5" i="14"/>
  <c r="Y2" i="14"/>
  <c r="B6" i="14" s="1"/>
  <c r="B2" i="14"/>
  <c r="B28" i="13"/>
  <c r="Y23" i="13"/>
  <c r="Y24" i="13"/>
  <c r="Y25" i="13"/>
  <c r="Y26" i="13"/>
  <c r="Y27" i="13"/>
  <c r="Y28" i="13"/>
  <c r="B25" i="13"/>
  <c r="B27" i="13"/>
  <c r="B26" i="13"/>
  <c r="Y22" i="13"/>
  <c r="B17" i="13" s="1"/>
  <c r="Y21" i="13"/>
  <c r="B19" i="13" s="1"/>
  <c r="B16" i="13"/>
  <c r="Y20" i="13"/>
  <c r="B21" i="13" s="1"/>
  <c r="B22" i="13"/>
  <c r="Y19" i="13"/>
  <c r="B24" i="13" s="1"/>
  <c r="Y18" i="13"/>
  <c r="B20" i="13" s="1"/>
  <c r="Y17" i="13"/>
  <c r="B14" i="13" s="1"/>
  <c r="Y16" i="13"/>
  <c r="Y15" i="13"/>
  <c r="B11" i="13" s="1"/>
  <c r="Y14" i="13"/>
  <c r="B18" i="13" s="1"/>
  <c r="Y13" i="13"/>
  <c r="B8" i="13"/>
  <c r="Y12" i="13"/>
  <c r="Y11" i="13"/>
  <c r="B23" i="13" s="1"/>
  <c r="Y10" i="13"/>
  <c r="B13" i="13" s="1"/>
  <c r="Y9" i="13"/>
  <c r="B12" i="13" s="1"/>
  <c r="Y8" i="13"/>
  <c r="B4" i="13" s="1"/>
  <c r="Y7" i="13"/>
  <c r="B10" i="13" s="1"/>
  <c r="Y6" i="13"/>
  <c r="B15" i="13" s="1"/>
  <c r="Y5" i="13"/>
  <c r="B7" i="13" s="1"/>
  <c r="B5" i="13"/>
  <c r="Y4" i="13"/>
  <c r="B3" i="13"/>
  <c r="Y3" i="13"/>
  <c r="B6" i="13" s="1"/>
  <c r="Y2" i="13"/>
  <c r="B9" i="13" s="1"/>
  <c r="B2" i="13"/>
  <c r="Y27" i="12"/>
  <c r="Y26" i="12"/>
  <c r="Y25" i="12"/>
  <c r="B25" i="12" s="1"/>
  <c r="Y24" i="12"/>
  <c r="B24" i="12" s="1"/>
  <c r="Y23" i="12"/>
  <c r="Y22" i="12"/>
  <c r="B26" i="12" s="1"/>
  <c r="Y21" i="12"/>
  <c r="B17" i="12" s="1"/>
  <c r="B22" i="12"/>
  <c r="Y20" i="12"/>
  <c r="B19" i="12" s="1"/>
  <c r="B21" i="12"/>
  <c r="Y19" i="12"/>
  <c r="B27" i="12" s="1"/>
  <c r="Y18" i="12"/>
  <c r="B18" i="12"/>
  <c r="Y17" i="12"/>
  <c r="B12" i="12" s="1"/>
  <c r="Y16" i="12"/>
  <c r="B5" i="12" s="1"/>
  <c r="B13" i="12"/>
  <c r="Y15" i="12"/>
  <c r="B11" i="12" s="1"/>
  <c r="Y14" i="12"/>
  <c r="B16" i="12" s="1"/>
  <c r="Y13" i="12"/>
  <c r="B20" i="12" s="1"/>
  <c r="Y12" i="12"/>
  <c r="Y11" i="12"/>
  <c r="B23" i="12" s="1"/>
  <c r="Y10" i="12"/>
  <c r="B7" i="12" s="1"/>
  <c r="Y9" i="12"/>
  <c r="B15" i="12" s="1"/>
  <c r="Y8" i="12"/>
  <c r="B3" i="12" s="1"/>
  <c r="Y7" i="12"/>
  <c r="B10" i="12" s="1"/>
  <c r="Y6" i="12"/>
  <c r="B14" i="12" s="1"/>
  <c r="Y5" i="12"/>
  <c r="B8" i="12" s="1"/>
  <c r="Y4" i="12"/>
  <c r="B4" i="12" s="1"/>
  <c r="Y3" i="12"/>
  <c r="B9" i="12" s="1"/>
  <c r="Y2" i="12"/>
  <c r="B6" i="12" s="1"/>
  <c r="B2" i="12"/>
  <c r="N3" i="7"/>
  <c r="N4" i="7"/>
  <c r="N7" i="7"/>
  <c r="N5" i="7"/>
  <c r="N6" i="7"/>
  <c r="N10" i="7"/>
  <c r="N8" i="7"/>
  <c r="N12" i="7"/>
  <c r="N9" i="7"/>
  <c r="N16" i="7"/>
  <c r="N15" i="7"/>
  <c r="N11" i="7"/>
  <c r="N14" i="7"/>
  <c r="N13" i="7"/>
  <c r="N19" i="7"/>
  <c r="N18" i="7"/>
  <c r="N20" i="7"/>
  <c r="N21" i="7"/>
  <c r="N24" i="7"/>
  <c r="N23" i="7"/>
  <c r="N22" i="7"/>
  <c r="N25" i="7"/>
  <c r="N26" i="7"/>
  <c r="N27" i="7"/>
  <c r="N17" i="7"/>
  <c r="N2" i="7"/>
  <c r="Y27" i="11"/>
  <c r="Y26" i="11"/>
  <c r="Y25" i="11"/>
  <c r="B25" i="11" s="1"/>
  <c r="Y24" i="11"/>
  <c r="B24" i="11"/>
  <c r="Y23" i="11"/>
  <c r="B21" i="11" s="1"/>
  <c r="B15" i="11"/>
  <c r="Y22" i="11"/>
  <c r="B26" i="11" s="1"/>
  <c r="B17" i="11"/>
  <c r="Y21" i="11"/>
  <c r="Y20" i="11"/>
  <c r="B23" i="11" s="1"/>
  <c r="B22" i="11"/>
  <c r="Y19" i="11"/>
  <c r="B27" i="11" s="1"/>
  <c r="Y18" i="11"/>
  <c r="B18" i="11" s="1"/>
  <c r="B16" i="11"/>
  <c r="Y17" i="11"/>
  <c r="B13" i="11" s="1"/>
  <c r="Y16" i="11"/>
  <c r="Y15" i="11"/>
  <c r="B10" i="11" s="1"/>
  <c r="B14" i="11"/>
  <c r="Y14" i="11"/>
  <c r="B11" i="11" s="1"/>
  <c r="Y13" i="11"/>
  <c r="Y12" i="11"/>
  <c r="B20" i="11" s="1"/>
  <c r="Y11" i="11"/>
  <c r="Y10" i="11"/>
  <c r="B4" i="11" s="1"/>
  <c r="Y9" i="11"/>
  <c r="B19" i="11" s="1"/>
  <c r="Y8" i="11"/>
  <c r="B3" i="11" s="1"/>
  <c r="Y7" i="11"/>
  <c r="B8" i="11"/>
  <c r="Y6" i="11"/>
  <c r="B9" i="11" s="1"/>
  <c r="Y5" i="11"/>
  <c r="B6" i="11" s="1"/>
  <c r="Y4" i="11"/>
  <c r="B5" i="11" s="1"/>
  <c r="Y3" i="11"/>
  <c r="B7" i="11" s="1"/>
  <c r="Y2" i="11"/>
  <c r="B12" i="11" s="1"/>
  <c r="B2" i="11"/>
  <c r="M17" i="7"/>
  <c r="M2" i="7"/>
  <c r="M3" i="7"/>
  <c r="M4" i="7"/>
  <c r="M7" i="7"/>
  <c r="M5" i="7"/>
  <c r="M6" i="7"/>
  <c r="M10" i="7"/>
  <c r="M8" i="7"/>
  <c r="M12" i="7"/>
  <c r="M9" i="7"/>
  <c r="M16" i="7"/>
  <c r="M15" i="7"/>
  <c r="M11" i="7"/>
  <c r="M14" i="7"/>
  <c r="M13" i="7"/>
  <c r="M19" i="7"/>
  <c r="M18" i="7"/>
  <c r="M20" i="7"/>
  <c r="M21" i="7"/>
  <c r="M24" i="7"/>
  <c r="M23" i="7"/>
  <c r="M22" i="7"/>
  <c r="M25" i="7"/>
  <c r="M26" i="7"/>
  <c r="M27" i="7"/>
  <c r="B18" i="10"/>
  <c r="B2" i="10"/>
  <c r="Y26" i="10"/>
  <c r="Y27" i="10"/>
  <c r="Y25" i="10"/>
  <c r="Y24" i="10"/>
  <c r="Y23" i="10"/>
  <c r="Y22" i="10"/>
  <c r="B26" i="10" s="1"/>
  <c r="B25" i="10"/>
  <c r="Y21" i="10"/>
  <c r="B24" i="10"/>
  <c r="Y20" i="10"/>
  <c r="B21" i="10" s="1"/>
  <c r="Y19" i="10"/>
  <c r="B27" i="10" s="1"/>
  <c r="B23" i="10"/>
  <c r="Y18" i="10"/>
  <c r="B10" i="10" s="1"/>
  <c r="B19" i="10"/>
  <c r="Y17" i="10"/>
  <c r="B13" i="10" s="1"/>
  <c r="Y16" i="10"/>
  <c r="B15" i="10" s="1"/>
  <c r="Y15" i="10"/>
  <c r="B12" i="10" s="1"/>
  <c r="Y14" i="10"/>
  <c r="B14" i="10" s="1"/>
  <c r="Y13" i="10"/>
  <c r="B22" i="10" s="1"/>
  <c r="Y12" i="10"/>
  <c r="B17" i="10" s="1"/>
  <c r="Y11" i="10"/>
  <c r="B20" i="10" s="1"/>
  <c r="B9" i="10"/>
  <c r="Y10" i="10"/>
  <c r="Y9" i="10"/>
  <c r="B16" i="10" s="1"/>
  <c r="Y8" i="10"/>
  <c r="B4" i="10" s="1"/>
  <c r="Y7" i="10"/>
  <c r="B7" i="10" s="1"/>
  <c r="Y6" i="10"/>
  <c r="B11" i="10" s="1"/>
  <c r="Y5" i="10"/>
  <c r="Y4" i="10"/>
  <c r="B5" i="10" s="1"/>
  <c r="B6" i="10"/>
  <c r="Y3" i="10"/>
  <c r="B3" i="10"/>
  <c r="Y2" i="10"/>
  <c r="B8" i="10" s="1"/>
  <c r="L3" i="7"/>
  <c r="L4" i="7"/>
  <c r="L7" i="7"/>
  <c r="L5" i="7"/>
  <c r="L6" i="7"/>
  <c r="L10" i="7"/>
  <c r="L8" i="7"/>
  <c r="L12" i="7"/>
  <c r="L9" i="7"/>
  <c r="L16" i="7"/>
  <c r="L15" i="7"/>
  <c r="L11" i="7"/>
  <c r="L14" i="7"/>
  <c r="L13" i="7"/>
  <c r="L19" i="7"/>
  <c r="L18" i="7"/>
  <c r="L20" i="7"/>
  <c r="L21" i="7"/>
  <c r="L24" i="7"/>
  <c r="L23" i="7"/>
  <c r="L22" i="7"/>
  <c r="L25" i="7"/>
  <c r="L26" i="7"/>
  <c r="L27" i="7"/>
  <c r="L2" i="7"/>
  <c r="K3" i="7"/>
  <c r="K4" i="7"/>
  <c r="K7" i="7"/>
  <c r="K5" i="7"/>
  <c r="K6" i="7"/>
  <c r="K10" i="7"/>
  <c r="K8" i="7"/>
  <c r="K12" i="7"/>
  <c r="K9" i="7"/>
  <c r="K16" i="7"/>
  <c r="K15" i="7"/>
  <c r="K11" i="7"/>
  <c r="K14" i="7"/>
  <c r="K13" i="7"/>
  <c r="K19" i="7"/>
  <c r="K18" i="7"/>
  <c r="K20" i="7"/>
  <c r="K21" i="7"/>
  <c r="K24" i="7"/>
  <c r="K23" i="7"/>
  <c r="K22" i="7"/>
  <c r="K25" i="7"/>
  <c r="K26" i="7"/>
  <c r="K27" i="7"/>
  <c r="K2" i="7"/>
  <c r="Y26" i="9"/>
  <c r="Y25" i="9"/>
  <c r="B21" i="9"/>
  <c r="Y24" i="9"/>
  <c r="Y23" i="9"/>
  <c r="Y22" i="9"/>
  <c r="B25" i="9" s="1"/>
  <c r="Y21" i="9"/>
  <c r="B19" i="9" s="1"/>
  <c r="B18" i="9"/>
  <c r="Y20" i="9"/>
  <c r="B24" i="9" s="1"/>
  <c r="Y19" i="9"/>
  <c r="B26" i="9" s="1"/>
  <c r="Y18" i="9"/>
  <c r="B14" i="9" s="1"/>
  <c r="Y17" i="9"/>
  <c r="Y16" i="9"/>
  <c r="B13" i="9" s="1"/>
  <c r="B23" i="9"/>
  <c r="Y15" i="9"/>
  <c r="B17" i="9"/>
  <c r="Y14" i="9"/>
  <c r="B7" i="9" s="1"/>
  <c r="B22" i="9"/>
  <c r="Y13" i="9"/>
  <c r="Y12" i="9"/>
  <c r="B16" i="9" s="1"/>
  <c r="Y11" i="9"/>
  <c r="B20" i="9" s="1"/>
  <c r="Y10" i="9"/>
  <c r="B11" i="9"/>
  <c r="Y9" i="9"/>
  <c r="B15" i="9" s="1"/>
  <c r="Y8" i="9"/>
  <c r="B5" i="9" s="1"/>
  <c r="Y7" i="9"/>
  <c r="B8" i="9" s="1"/>
  <c r="B12" i="9"/>
  <c r="Y6" i="9"/>
  <c r="B10" i="9" s="1"/>
  <c r="Y5" i="9"/>
  <c r="B4" i="9" s="1"/>
  <c r="Y4" i="9"/>
  <c r="B6" i="9" s="1"/>
  <c r="Y3" i="9"/>
  <c r="B3" i="9" s="1"/>
  <c r="Y2" i="9"/>
  <c r="B9" i="9" s="1"/>
  <c r="B2" i="9"/>
  <c r="Y26" i="8"/>
  <c r="Y25" i="8"/>
  <c r="Y24" i="8"/>
  <c r="Y23" i="8"/>
  <c r="B21" i="8" s="1"/>
  <c r="Y22" i="8"/>
  <c r="B22" i="8" s="1"/>
  <c r="B14" i="8"/>
  <c r="Y21" i="8"/>
  <c r="B23" i="8" s="1"/>
  <c r="B25" i="8"/>
  <c r="Y20" i="8"/>
  <c r="B18" i="8" s="1"/>
  <c r="Y19" i="8"/>
  <c r="B26" i="8" s="1"/>
  <c r="Y18" i="8"/>
  <c r="B20" i="8" s="1"/>
  <c r="Y17" i="8"/>
  <c r="Y16" i="8"/>
  <c r="B17" i="8" s="1"/>
  <c r="B16" i="8"/>
  <c r="Y15" i="8"/>
  <c r="B7" i="8" s="1"/>
  <c r="Y14" i="8"/>
  <c r="Y13" i="8"/>
  <c r="B15" i="8" s="1"/>
  <c r="Y12" i="8"/>
  <c r="B19" i="8" s="1"/>
  <c r="Y11" i="8"/>
  <c r="B24" i="8" s="1"/>
  <c r="Y10" i="8"/>
  <c r="Y9" i="8"/>
  <c r="B12" i="8" s="1"/>
  <c r="Y8" i="8"/>
  <c r="B6" i="8" s="1"/>
  <c r="Y7" i="8"/>
  <c r="B11" i="8" s="1"/>
  <c r="B9" i="8"/>
  <c r="Y6" i="8"/>
  <c r="B13" i="8" s="1"/>
  <c r="Y5" i="8"/>
  <c r="B8" i="8" s="1"/>
  <c r="B10" i="8"/>
  <c r="Y4" i="8"/>
  <c r="B3" i="8"/>
  <c r="Y3" i="8"/>
  <c r="B4" i="8" s="1"/>
  <c r="Y2" i="8"/>
  <c r="B5" i="8" s="1"/>
  <c r="B2" i="8"/>
  <c r="J3" i="7"/>
  <c r="J5" i="7"/>
  <c r="J7" i="7"/>
  <c r="J12" i="7"/>
  <c r="J10" i="7"/>
  <c r="J8" i="7"/>
  <c r="J16" i="7"/>
  <c r="J4" i="7"/>
  <c r="J6" i="7"/>
  <c r="J9" i="7"/>
  <c r="J19" i="7"/>
  <c r="J14" i="7"/>
  <c r="J18" i="7"/>
  <c r="J15" i="7"/>
  <c r="J13" i="7"/>
  <c r="J11" i="7"/>
  <c r="J20" i="7"/>
  <c r="J21" i="7"/>
  <c r="J24" i="7"/>
  <c r="J23" i="7"/>
  <c r="J22" i="7"/>
  <c r="J25" i="7"/>
  <c r="J26" i="7"/>
  <c r="J27" i="7"/>
  <c r="J2" i="7"/>
  <c r="I3" i="7"/>
  <c r="I5" i="7"/>
  <c r="I7" i="7"/>
  <c r="I12" i="7"/>
  <c r="I10" i="7"/>
  <c r="I8" i="7"/>
  <c r="I16" i="7"/>
  <c r="I4" i="7"/>
  <c r="I6" i="7"/>
  <c r="I9" i="7"/>
  <c r="I19" i="7"/>
  <c r="I14" i="7"/>
  <c r="I18" i="7"/>
  <c r="I15" i="7"/>
  <c r="I13" i="7"/>
  <c r="I11" i="7"/>
  <c r="I20" i="7"/>
  <c r="I21" i="7"/>
  <c r="I24" i="7"/>
  <c r="I23" i="7"/>
  <c r="I22" i="7"/>
  <c r="I25" i="7"/>
  <c r="I26" i="7"/>
  <c r="I27" i="7"/>
  <c r="I2" i="7"/>
  <c r="H3" i="7"/>
  <c r="H5" i="7"/>
  <c r="H7" i="7"/>
  <c r="H12" i="7"/>
  <c r="H10" i="7"/>
  <c r="H8" i="7"/>
  <c r="H16" i="7"/>
  <c r="H4" i="7"/>
  <c r="H6" i="7"/>
  <c r="H9" i="7"/>
  <c r="H19" i="7"/>
  <c r="H14" i="7"/>
  <c r="H18" i="7"/>
  <c r="H15" i="7"/>
  <c r="H13" i="7"/>
  <c r="H11" i="7"/>
  <c r="H20" i="7"/>
  <c r="H21" i="7"/>
  <c r="H24" i="7"/>
  <c r="H23" i="7"/>
  <c r="H22" i="7"/>
  <c r="H25" i="7"/>
  <c r="H26" i="7"/>
  <c r="H27" i="7"/>
  <c r="H2" i="7"/>
  <c r="G3" i="7"/>
  <c r="G5" i="7"/>
  <c r="G7" i="7"/>
  <c r="G12" i="7"/>
  <c r="G10" i="7"/>
  <c r="G8" i="7"/>
  <c r="G16" i="7"/>
  <c r="G4" i="7"/>
  <c r="G6" i="7"/>
  <c r="G9" i="7"/>
  <c r="G19" i="7"/>
  <c r="G14" i="7"/>
  <c r="G18" i="7"/>
  <c r="G15" i="7"/>
  <c r="G13" i="7"/>
  <c r="G11" i="7"/>
  <c r="G20" i="7"/>
  <c r="G21" i="7"/>
  <c r="G24" i="7"/>
  <c r="G23" i="7"/>
  <c r="G22" i="7"/>
  <c r="G25" i="7"/>
  <c r="G26" i="7"/>
  <c r="G27" i="7"/>
  <c r="G2" i="7"/>
  <c r="F3" i="7"/>
  <c r="F5" i="7"/>
  <c r="F7" i="7"/>
  <c r="F12" i="7"/>
  <c r="F10" i="7"/>
  <c r="F8" i="7"/>
  <c r="F16" i="7"/>
  <c r="F4" i="7"/>
  <c r="F6" i="7"/>
  <c r="F9" i="7"/>
  <c r="F19" i="7"/>
  <c r="F14" i="7"/>
  <c r="F18" i="7"/>
  <c r="F15" i="7"/>
  <c r="F13" i="7"/>
  <c r="F11" i="7"/>
  <c r="F20" i="7"/>
  <c r="F21" i="7"/>
  <c r="F24" i="7"/>
  <c r="F23" i="7"/>
  <c r="F22" i="7"/>
  <c r="F25" i="7"/>
  <c r="F26" i="7"/>
  <c r="F27" i="7"/>
  <c r="F2" i="7"/>
  <c r="Y26" i="6"/>
  <c r="Y25" i="6"/>
  <c r="Y24" i="6"/>
  <c r="B24" i="6"/>
  <c r="Y23" i="6"/>
  <c r="Y22" i="6"/>
  <c r="B25" i="6" s="1"/>
  <c r="B22" i="6"/>
  <c r="Y21" i="6"/>
  <c r="B19" i="6" s="1"/>
  <c r="Y20" i="6"/>
  <c r="B23" i="6" s="1"/>
  <c r="Y19" i="6"/>
  <c r="B26" i="6" s="1"/>
  <c r="B13" i="6"/>
  <c r="Y18" i="6"/>
  <c r="B15" i="6" s="1"/>
  <c r="B18" i="6"/>
  <c r="Y17" i="6"/>
  <c r="B16" i="6" s="1"/>
  <c r="B17" i="6"/>
  <c r="Y16" i="6"/>
  <c r="Y15" i="6"/>
  <c r="B21" i="6"/>
  <c r="Y14" i="6"/>
  <c r="B7" i="6" s="1"/>
  <c r="Y13" i="6"/>
  <c r="Y12" i="6"/>
  <c r="B9" i="6"/>
  <c r="Y11" i="6"/>
  <c r="B20" i="6" s="1"/>
  <c r="Y10" i="6"/>
  <c r="B5" i="6" s="1"/>
  <c r="Y9" i="6"/>
  <c r="B6" i="6" s="1"/>
  <c r="Y8" i="6"/>
  <c r="B10" i="6" s="1"/>
  <c r="B11" i="6"/>
  <c r="Y7" i="6"/>
  <c r="B12" i="6" s="1"/>
  <c r="Y6" i="6"/>
  <c r="B14" i="6" s="1"/>
  <c r="Y5" i="6"/>
  <c r="B8" i="6" s="1"/>
  <c r="Y4" i="6"/>
  <c r="B4" i="6" s="1"/>
  <c r="Y3" i="6"/>
  <c r="B3" i="6" s="1"/>
  <c r="Y2" i="6"/>
  <c r="B2" i="6"/>
  <c r="Y26" i="5"/>
  <c r="Y25" i="5"/>
  <c r="Y24" i="5"/>
  <c r="B15" i="5"/>
  <c r="Y23" i="5"/>
  <c r="B24" i="5" s="1"/>
  <c r="Y22" i="5"/>
  <c r="B25" i="5" s="1"/>
  <c r="Y21" i="5"/>
  <c r="B21" i="5" s="1"/>
  <c r="Y20" i="5"/>
  <c r="B23" i="5" s="1"/>
  <c r="B22" i="5"/>
  <c r="Y19" i="5"/>
  <c r="B26" i="5" s="1"/>
  <c r="Y18" i="5"/>
  <c r="B13" i="5" s="1"/>
  <c r="Y17" i="5"/>
  <c r="B16" i="5" s="1"/>
  <c r="Y16" i="5"/>
  <c r="B17" i="5" s="1"/>
  <c r="Y15" i="5"/>
  <c r="B18" i="5" s="1"/>
  <c r="Y14" i="5"/>
  <c r="B5" i="5" s="1"/>
  <c r="Y13" i="5"/>
  <c r="B12" i="5" s="1"/>
  <c r="Y12" i="5"/>
  <c r="B19" i="5" s="1"/>
  <c r="Y11" i="5"/>
  <c r="B14" i="5" s="1"/>
  <c r="Y10" i="5"/>
  <c r="Y9" i="5"/>
  <c r="B11" i="5" s="1"/>
  <c r="Y8" i="5"/>
  <c r="B6" i="5" s="1"/>
  <c r="Y7" i="5"/>
  <c r="B10" i="5" s="1"/>
  <c r="Y6" i="5"/>
  <c r="B20" i="5" s="1"/>
  <c r="B3" i="5"/>
  <c r="Y5" i="5"/>
  <c r="B9" i="5" s="1"/>
  <c r="Y4" i="5"/>
  <c r="B7" i="5"/>
  <c r="Y3" i="5"/>
  <c r="B4" i="5"/>
  <c r="Y2" i="5"/>
  <c r="B8" i="5" s="1"/>
  <c r="B2" i="5"/>
  <c r="Y26" i="4"/>
  <c r="Y25" i="4"/>
  <c r="Y24" i="4"/>
  <c r="B24" i="4"/>
  <c r="Y23" i="4"/>
  <c r="B23" i="4"/>
  <c r="Y22" i="4"/>
  <c r="B25" i="4" s="1"/>
  <c r="Y21" i="4"/>
  <c r="Y20" i="4"/>
  <c r="B21" i="4" s="1"/>
  <c r="B20" i="4"/>
  <c r="Y19" i="4"/>
  <c r="B26" i="4" s="1"/>
  <c r="B16" i="4"/>
  <c r="Y18" i="4"/>
  <c r="B19" i="4" s="1"/>
  <c r="Y17" i="4"/>
  <c r="B12" i="4" s="1"/>
  <c r="B13" i="4"/>
  <c r="Y16" i="4"/>
  <c r="Y15" i="4"/>
  <c r="Y14" i="4"/>
  <c r="B11" i="4" s="1"/>
  <c r="Y13" i="4"/>
  <c r="B15" i="4" s="1"/>
  <c r="B14" i="4"/>
  <c r="Y12" i="4"/>
  <c r="B17" i="4" s="1"/>
  <c r="Y11" i="4"/>
  <c r="B22" i="4" s="1"/>
  <c r="Y10" i="4"/>
  <c r="B6" i="4" s="1"/>
  <c r="Y9" i="4"/>
  <c r="Y8" i="4"/>
  <c r="B5" i="4" s="1"/>
  <c r="B10" i="4"/>
  <c r="Y7" i="4"/>
  <c r="B9" i="4" s="1"/>
  <c r="Y6" i="4"/>
  <c r="B18" i="4" s="1"/>
  <c r="Y5" i="4"/>
  <c r="B8" i="4" s="1"/>
  <c r="Y4" i="4"/>
  <c r="B4" i="4" s="1"/>
  <c r="Y3" i="4"/>
  <c r="B3" i="4"/>
  <c r="Y2" i="4"/>
  <c r="B7" i="4" s="1"/>
  <c r="B2" i="4"/>
  <c r="Y26" i="3"/>
  <c r="Y25" i="3"/>
  <c r="B20" i="3" s="1"/>
  <c r="Y24" i="3"/>
  <c r="Y23" i="3"/>
  <c r="B23" i="3" s="1"/>
  <c r="B24" i="3"/>
  <c r="Y22" i="3"/>
  <c r="B25" i="3" s="1"/>
  <c r="Y21" i="3"/>
  <c r="Y20" i="3"/>
  <c r="B21" i="3" s="1"/>
  <c r="B19" i="3"/>
  <c r="Y19" i="3"/>
  <c r="B26" i="3" s="1"/>
  <c r="Y18" i="3"/>
  <c r="B16" i="3" s="1"/>
  <c r="Y17" i="3"/>
  <c r="B12" i="3" s="1"/>
  <c r="Y16" i="3"/>
  <c r="B17" i="3"/>
  <c r="Y15" i="3"/>
  <c r="B13" i="3" s="1"/>
  <c r="Y14" i="3"/>
  <c r="B9" i="3" s="1"/>
  <c r="Y13" i="3"/>
  <c r="B14" i="3" s="1"/>
  <c r="Y12" i="3"/>
  <c r="B18" i="3" s="1"/>
  <c r="Y11" i="3"/>
  <c r="B22" i="3" s="1"/>
  <c r="Y10" i="3"/>
  <c r="Y9" i="3"/>
  <c r="B8" i="3"/>
  <c r="Y8" i="3"/>
  <c r="B5" i="3" s="1"/>
  <c r="Y7" i="3"/>
  <c r="B10" i="3" s="1"/>
  <c r="Y6" i="3"/>
  <c r="B11" i="3" s="1"/>
  <c r="B6" i="3"/>
  <c r="Y5" i="3"/>
  <c r="B15" i="3" s="1"/>
  <c r="Y4" i="3"/>
  <c r="B7" i="3" s="1"/>
  <c r="Y3" i="3"/>
  <c r="B3" i="3"/>
  <c r="Y2" i="3"/>
  <c r="B4" i="3" s="1"/>
  <c r="B2" i="3"/>
  <c r="B2" i="1"/>
  <c r="B23" i="1"/>
  <c r="Y26" i="1"/>
  <c r="Y25" i="1"/>
  <c r="B15" i="1" s="1"/>
  <c r="Y24" i="1"/>
  <c r="Y23" i="1"/>
  <c r="B22" i="1" s="1"/>
  <c r="Y22" i="1"/>
  <c r="B25" i="1" s="1"/>
  <c r="Y21" i="1"/>
  <c r="B20" i="1" s="1"/>
  <c r="Y20" i="1"/>
  <c r="B17" i="1" s="1"/>
  <c r="Y19" i="1"/>
  <c r="B26" i="1" s="1"/>
  <c r="Y18" i="1"/>
  <c r="B24" i="1" s="1"/>
  <c r="Y17" i="1"/>
  <c r="B12" i="1" s="1"/>
  <c r="Y16" i="1"/>
  <c r="B16" i="1" s="1"/>
  <c r="Y15" i="1"/>
  <c r="B13" i="1" s="1"/>
  <c r="Y14" i="1"/>
  <c r="B10" i="1" s="1"/>
  <c r="Y13" i="1"/>
  <c r="B14" i="1" s="1"/>
  <c r="Y12" i="1"/>
  <c r="B19" i="1" s="1"/>
  <c r="Y11" i="1"/>
  <c r="B21" i="1" s="1"/>
  <c r="Y10" i="1"/>
  <c r="B6" i="1" s="1"/>
  <c r="Y9" i="1"/>
  <c r="B9" i="1" s="1"/>
  <c r="Y8" i="1"/>
  <c r="B4" i="1" s="1"/>
  <c r="Y7" i="1"/>
  <c r="B18" i="1" s="1"/>
  <c r="Y6" i="1"/>
  <c r="B11" i="1" s="1"/>
  <c r="Y5" i="1"/>
  <c r="B7" i="1" s="1"/>
  <c r="Y4" i="1"/>
  <c r="B8" i="1" s="1"/>
  <c r="Y3" i="1"/>
  <c r="B3" i="1" s="1"/>
  <c r="Y2" i="1"/>
  <c r="B5" i="1" s="1"/>
  <c r="AK3" i="2"/>
  <c r="AK9" i="2"/>
  <c r="AK2" i="2"/>
  <c r="AK5" i="2"/>
  <c r="AK7" i="2"/>
  <c r="AK8" i="2"/>
  <c r="AK6" i="2"/>
  <c r="AK11" i="2"/>
  <c r="AK10" i="2"/>
  <c r="AK4" i="2"/>
  <c r="D28" i="7" l="1"/>
  <c r="G90" i="7"/>
  <c r="G109" i="7"/>
  <c r="D11" i="7"/>
  <c r="G107" i="7"/>
  <c r="G108" i="7"/>
  <c r="D9" i="7"/>
  <c r="D14" i="7"/>
  <c r="D10" i="7"/>
  <c r="D16" i="7"/>
  <c r="D8" i="7"/>
  <c r="D12" i="7"/>
  <c r="G104" i="7"/>
  <c r="G95" i="7"/>
  <c r="D21" i="7"/>
  <c r="D5" i="7"/>
  <c r="D19" i="7"/>
  <c r="G91" i="7"/>
  <c r="D20" i="7"/>
  <c r="D3" i="7"/>
  <c r="G96" i="7"/>
  <c r="D24" i="7"/>
  <c r="D18" i="7"/>
  <c r="G97" i="7"/>
  <c r="G101" i="7"/>
  <c r="D22" i="7"/>
  <c r="D7" i="7"/>
  <c r="D15" i="7"/>
  <c r="G92" i="7"/>
  <c r="G94" i="7"/>
  <c r="D2" i="7"/>
  <c r="D6" i="7"/>
  <c r="G88" i="7"/>
  <c r="G105" i="7"/>
  <c r="D13" i="7"/>
  <c r="D23" i="7"/>
  <c r="G110" i="7"/>
  <c r="G87" i="7"/>
  <c r="G103" i="7"/>
  <c r="G86" i="7"/>
  <c r="G106" i="7"/>
  <c r="G102" i="7"/>
  <c r="G98" i="7"/>
  <c r="D4" i="7"/>
  <c r="D27" i="7"/>
  <c r="D112" i="7"/>
  <c r="D26" i="7"/>
  <c r="D17" i="7"/>
  <c r="G89" i="7"/>
  <c r="G100" i="7"/>
  <c r="G99" i="7"/>
  <c r="G93" i="7"/>
  <c r="D25" i="7"/>
  <c r="G85" i="7"/>
  <c r="D30" i="7" l="1"/>
  <c r="B30" i="7"/>
  <c r="C4" i="7" l="1"/>
  <c r="C20" i="7"/>
  <c r="C27" i="7"/>
  <c r="C28" i="7"/>
  <c r="C17" i="7"/>
  <c r="C19" i="7"/>
  <c r="C5" i="7"/>
  <c r="C21" i="7"/>
  <c r="C26" i="7"/>
  <c r="C11" i="7"/>
  <c r="C12" i="7"/>
  <c r="C18" i="7"/>
  <c r="C3" i="7"/>
  <c r="C6" i="7"/>
  <c r="C22" i="7"/>
  <c r="C16" i="7"/>
  <c r="C7" i="7"/>
  <c r="C23" i="7"/>
  <c r="C8" i="7"/>
  <c r="C24" i="7"/>
  <c r="C9" i="7"/>
  <c r="C25" i="7"/>
  <c r="C10" i="7"/>
  <c r="C13" i="7"/>
  <c r="C2" i="7"/>
  <c r="C14" i="7"/>
  <c r="C15" i="7"/>
  <c r="C30" i="7" l="1"/>
</calcChain>
</file>

<file path=xl/sharedStrings.xml><?xml version="1.0" encoding="utf-8"?>
<sst xmlns="http://schemas.openxmlformats.org/spreadsheetml/2006/main" count="2343" uniqueCount="151">
  <si>
    <t>장르</t>
    <phoneticPr fontId="1" type="noConversion"/>
  </si>
  <si>
    <t>개수</t>
    <phoneticPr fontId="1" type="noConversion"/>
  </si>
  <si>
    <t>디펜스</t>
  </si>
  <si>
    <t>컴까기</t>
  </si>
  <si>
    <t>퍼즐</t>
  </si>
  <si>
    <t>블러드</t>
  </si>
  <si>
    <t>서바이벌</t>
  </si>
  <si>
    <t>디플로메시</t>
  </si>
  <si>
    <t>키우기</t>
  </si>
  <si>
    <t>캠페인</t>
  </si>
  <si>
    <t>RPG</t>
  </si>
  <si>
    <t>내가만든유즈맵</t>
    <phoneticPr fontId="1" type="noConversion"/>
  </si>
  <si>
    <t>타인제작유즈맵</t>
    <phoneticPr fontId="1" type="noConversion"/>
  </si>
  <si>
    <t>기간</t>
  </si>
  <si>
    <t>test2</t>
  </si>
  <si>
    <t>메이플</t>
  </si>
  <si>
    <t>맞히기 관련</t>
  </si>
  <si>
    <t>메운디 관련</t>
  </si>
  <si>
    <t>게임</t>
  </si>
  <si>
    <t>캐키보</t>
  </si>
  <si>
    <t>dps</t>
  </si>
  <si>
    <t>리니지</t>
  </si>
  <si>
    <t>2022-10-10 (week)</t>
  </si>
  <si>
    <t>2022-10-17 (week)</t>
  </si>
  <si>
    <t>2022-10-24 (week)</t>
  </si>
  <si>
    <t>2022-10-31 (week)</t>
  </si>
  <si>
    <t>2022-11-14 (week)</t>
  </si>
  <si>
    <t>2022-11-21 (week)</t>
  </si>
  <si>
    <t>2022-11-28 (week)</t>
  </si>
  <si>
    <t>2022-12-12 (week)</t>
  </si>
  <si>
    <t>2022-12-19 (week)</t>
  </si>
  <si>
    <t>2022-12-26 (week)</t>
  </si>
  <si>
    <t>2022-08-22 (week)</t>
  </si>
  <si>
    <t>2022-08-29 (week)</t>
  </si>
  <si>
    <t>2022-09-05 (week)</t>
  </si>
  <si>
    <t>2022-09-12 (week)</t>
  </si>
  <si>
    <t>2022-09-19 (week)</t>
  </si>
  <si>
    <t>2022-09-26 (week)</t>
  </si>
  <si>
    <t>2022-10-03 (week)</t>
  </si>
  <si>
    <t>2022-11-07 (week)</t>
  </si>
  <si>
    <t>2022-12-05 (week)</t>
  </si>
  <si>
    <t>2023-01-02 (week)</t>
  </si>
  <si>
    <t>2023-01-09 (week)</t>
  </si>
  <si>
    <t>2023-01-16 (week)</t>
  </si>
  <si>
    <t>2023-01-23 (week)</t>
  </si>
  <si>
    <t>2023-01-30 (week)</t>
  </si>
  <si>
    <t>2023-02-06 (week)</t>
  </si>
  <si>
    <t>2023-02-13 (week)</t>
  </si>
  <si>
    <t>2023-02-20 (week)</t>
  </si>
  <si>
    <t>2023-02-27 (week)</t>
  </si>
  <si>
    <t>2023-03-06 (week)</t>
  </si>
  <si>
    <t>sum</t>
    <phoneticPr fontId="1" type="noConversion"/>
  </si>
  <si>
    <t>rpg</t>
  </si>
  <si>
    <t>디지몬</t>
  </si>
  <si>
    <t>강화</t>
  </si>
  <si>
    <t>캐릭터 키워</t>
  </si>
  <si>
    <t>캐릭터</t>
  </si>
  <si>
    <t>싱글</t>
  </si>
  <si>
    <t>바람</t>
  </si>
  <si>
    <t>바람의나라</t>
  </si>
  <si>
    <t>운빨</t>
  </si>
  <si>
    <t>전사</t>
  </si>
  <si>
    <t>좀비</t>
  </si>
  <si>
    <t>2인</t>
  </si>
  <si>
    <t>포켓몬</t>
  </si>
  <si>
    <t>캐릭터키워</t>
  </si>
  <si>
    <t>3인</t>
  </si>
  <si>
    <t>협동</t>
  </si>
  <si>
    <t>sca</t>
  </si>
  <si>
    <t>삼국지</t>
  </si>
  <si>
    <t>라이어</t>
  </si>
  <si>
    <t>제드</t>
  </si>
  <si>
    <t>디운디</t>
  </si>
  <si>
    <t>디지몬 운빨</t>
  </si>
  <si>
    <t>걸그룹</t>
  </si>
  <si>
    <t>5지선다</t>
  </si>
  <si>
    <t>롤</t>
  </si>
  <si>
    <t>힙합</t>
  </si>
  <si>
    <t>보컬로이드</t>
  </si>
  <si>
    <t>모코코</t>
  </si>
  <si>
    <t>서버</t>
  </si>
  <si>
    <t>미궁</t>
  </si>
  <si>
    <t>공포</t>
  </si>
  <si>
    <t>왕의기사</t>
  </si>
  <si>
    <t>원피스</t>
  </si>
  <si>
    <t>당첨된</t>
  </si>
  <si>
    <t>라이어게임</t>
  </si>
  <si>
    <t>백화점</t>
  </si>
  <si>
    <t>스나이퍼</t>
  </si>
  <si>
    <t>스매쉬</t>
  </si>
  <si>
    <t>드래곤볼</t>
  </si>
  <si>
    <t>모험</t>
  </si>
  <si>
    <t>제리</t>
  </si>
  <si>
    <t>전사의모험</t>
  </si>
  <si>
    <t>[번역</t>
  </si>
  <si>
    <t>eud</t>
  </si>
  <si>
    <t>맞히기</t>
    <phoneticPr fontId="1" type="noConversion"/>
  </si>
  <si>
    <t>캠페인</t>
    <phoneticPr fontId="1" type="noConversion"/>
  </si>
  <si>
    <t>디펜스</t>
    <phoneticPr fontId="1" type="noConversion"/>
  </si>
  <si>
    <t>대전</t>
    <phoneticPr fontId="1" type="noConversion"/>
  </si>
  <si>
    <t>RPG</t>
    <phoneticPr fontId="1" type="noConversion"/>
  </si>
  <si>
    <t>블러드</t>
    <phoneticPr fontId="1" type="noConversion"/>
  </si>
  <si>
    <t>미니게임</t>
    <phoneticPr fontId="1" type="noConversion"/>
  </si>
  <si>
    <t>컴까기</t>
    <phoneticPr fontId="1" type="noConversion"/>
  </si>
  <si>
    <t>서바이벌</t>
    <phoneticPr fontId="1" type="noConversion"/>
  </si>
  <si>
    <t>컨트롤</t>
    <phoneticPr fontId="1" type="noConversion"/>
  </si>
  <si>
    <t>리듬게임</t>
    <phoneticPr fontId="1" type="noConversion"/>
  </si>
  <si>
    <t>퍼즐</t>
    <phoneticPr fontId="1" type="noConversion"/>
  </si>
  <si>
    <t>밀리기반</t>
    <phoneticPr fontId="1" type="noConversion"/>
  </si>
  <si>
    <t>기타</t>
    <phoneticPr fontId="1" type="noConversion"/>
  </si>
  <si>
    <t>디플로메시</t>
    <phoneticPr fontId="1" type="noConversion"/>
  </si>
  <si>
    <t>키우기</t>
    <phoneticPr fontId="1" type="noConversion"/>
  </si>
  <si>
    <t>어드벤처</t>
    <phoneticPr fontId="1" type="noConversion"/>
  </si>
  <si>
    <t>공포</t>
    <phoneticPr fontId="1" type="noConversion"/>
  </si>
  <si>
    <t>영상</t>
    <phoneticPr fontId="1" type="noConversion"/>
  </si>
  <si>
    <t>탈출</t>
    <phoneticPr fontId="1" type="noConversion"/>
  </si>
  <si>
    <t>오펜스</t>
    <phoneticPr fontId="1" type="noConversion"/>
  </si>
  <si>
    <t>병맛</t>
    <phoneticPr fontId="1" type="noConversion"/>
  </si>
  <si>
    <t>추리</t>
    <phoneticPr fontId="1" type="noConversion"/>
  </si>
  <si>
    <t>슈팅</t>
    <phoneticPr fontId="1" type="noConversion"/>
  </si>
  <si>
    <t>맞히기</t>
    <phoneticPr fontId="1" type="noConversion"/>
  </si>
  <si>
    <t>총 개수</t>
    <phoneticPr fontId="1" type="noConversion"/>
  </si>
  <si>
    <t>AOS</t>
    <phoneticPr fontId="1" type="noConversion"/>
  </si>
  <si>
    <t>호환요청</t>
    <phoneticPr fontId="1" type="noConversion"/>
  </si>
  <si>
    <t>호환요청</t>
    <phoneticPr fontId="1" type="noConversion"/>
  </si>
  <si>
    <t>레이싱</t>
    <phoneticPr fontId="1" type="noConversion"/>
  </si>
  <si>
    <t>레이싱</t>
    <phoneticPr fontId="1" type="noConversion"/>
  </si>
  <si>
    <t>2024 총합</t>
  </si>
  <si>
    <t>2024 총합</t>
    <phoneticPr fontId="1" type="noConversion"/>
  </si>
  <si>
    <t>전체 총합</t>
    <phoneticPr fontId="1" type="noConversion"/>
  </si>
  <si>
    <t>장르</t>
  </si>
  <si>
    <t>맞히기</t>
  </si>
  <si>
    <t>대전</t>
  </si>
  <si>
    <t>컨트롤</t>
  </si>
  <si>
    <t>미니게임</t>
  </si>
  <si>
    <t>기타</t>
  </si>
  <si>
    <t>어드벤처</t>
  </si>
  <si>
    <t>밀리기반</t>
  </si>
  <si>
    <t>호환요청</t>
  </si>
  <si>
    <t>오펜스</t>
  </si>
  <si>
    <t>리듬게임</t>
  </si>
  <si>
    <t>탈출</t>
  </si>
  <si>
    <t>AOS</t>
  </si>
  <si>
    <t>슈팅</t>
  </si>
  <si>
    <t>추리</t>
  </si>
  <si>
    <t>병맛</t>
  </si>
  <si>
    <t>영상</t>
  </si>
  <si>
    <t>계</t>
    <phoneticPr fontId="1" type="noConversion"/>
  </si>
  <si>
    <t>백분율</t>
    <phoneticPr fontId="1" type="noConversion"/>
  </si>
  <si>
    <t>전체 비율</t>
    <phoneticPr fontId="1" type="noConversion"/>
  </si>
  <si>
    <t>2025 총합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</si>
</sst>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/&quot;m&quot;/&quot;d;@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A39A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'2023.10'!$B$1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CC-403E-B94A-371B27ED67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CC-403E-B94A-371B27ED67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CC-403E-B94A-371B27ED67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8CC-403E-B94A-371B27ED67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8CC-403E-B94A-371B27ED67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8CC-403E-B94A-371B27ED67A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8CC-403E-B94A-371B27ED67A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8CC-403E-B94A-371B27ED67A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8CC-403E-B94A-371B27ED67A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8CC-403E-B94A-371B27ED67A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8CC-403E-B94A-371B27ED67A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8CC-403E-B94A-371B27ED67A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8CC-403E-B94A-371B27ED67A7}"/>
              </c:ext>
            </c:extLst>
          </c:dPt>
          <c:dPt>
            <c:idx val="13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F833-4E8A-A778-40B4C270F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F833-4E8A-A778-40B4C270F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F833-4E8A-A778-40B4C270F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3226-4818-9CC7-152B4C4AED3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0E13-4DB7-858D-50732FB3DAB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0E13-4DB7-858D-50732FB3DAB0}"/>
              </c:ext>
            </c:extLst>
          </c:dPt>
          <c:dPt>
            <c:idx val="19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A-0E13-4DB7-858D-50732FB3DAB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0E13-4DB7-858D-50732FB3DA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'2023.10'!$A$2:$A$26</c15:sqref>
                  </c15:fullRef>
                </c:ext>
              </c:extLst>
              <c:f>'2023.10'!$A$3:$A$23</c:f>
              <c:strCache>
                <c:ptCount val="21"/>
                <c:pt idx="0">
                  <c:v>디펜스</c:v>
                </c:pt>
                <c:pt idx="1">
                  <c:v>컴까기</c:v>
                </c:pt>
                <c:pt idx="2">
                  <c:v>캠페인</c:v>
                </c:pt>
                <c:pt idx="3">
                  <c:v>컨트롤</c:v>
                </c:pt>
                <c:pt idx="4">
                  <c:v>RPG</c:v>
                </c:pt>
                <c:pt idx="5">
                  <c:v>대전</c:v>
                </c:pt>
                <c:pt idx="6">
                  <c:v>서바이벌</c:v>
                </c:pt>
                <c:pt idx="7">
                  <c:v>기타</c:v>
                </c:pt>
                <c:pt idx="8">
                  <c:v>블러드</c:v>
                </c:pt>
                <c:pt idx="9">
                  <c:v>어드벤처</c:v>
                </c:pt>
                <c:pt idx="10">
                  <c:v>디플로메시</c:v>
                </c:pt>
                <c:pt idx="11">
                  <c:v>밀리기반</c:v>
                </c:pt>
                <c:pt idx="12">
                  <c:v>AOS</c:v>
                </c:pt>
                <c:pt idx="13">
                  <c:v>키우기</c:v>
                </c:pt>
                <c:pt idx="14">
                  <c:v>탈출</c:v>
                </c:pt>
                <c:pt idx="15">
                  <c:v>미니게임</c:v>
                </c:pt>
                <c:pt idx="16">
                  <c:v>퍼즐</c:v>
                </c:pt>
                <c:pt idx="17">
                  <c:v>오펜스</c:v>
                </c:pt>
                <c:pt idx="18">
                  <c:v>리듬게임</c:v>
                </c:pt>
                <c:pt idx="19">
                  <c:v>추리</c:v>
                </c:pt>
                <c:pt idx="20">
                  <c:v>슈팅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'2023.10'!$B$2:$B$26</c15:sqref>
                  </c15:fullRef>
                </c:ext>
              </c:extLst>
              <c:f>'2023.10'!$B$3:$B$23</c:f>
              <c:numCache>
                <c:formatCode>General</c:formatCode>
                <c:ptCount val="21"/>
                <c:pt idx="0">
                  <c:v>16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'2023.10'!$B$2</c15:sqref>
                  <c15:bubble3D val="0"/>
                </c15:categoryFilterException>
                <c15:categoryFilterException>
                  <c15:sqref>'2023.10'!$B$24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'2023.10'!$B$25</c15:sqref>
                  <c15:bubble3D val="0"/>
                </c15:categoryFilterException>
                <c15:categoryFilterException>
                  <c15:sqref>'2023.10'!$B$26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7-85C1-4BBB-8A37-780AA4CA38C4}"/>
            </c:ext>
          </c:extLst>
        </c:ser>
        <c:ser>
          <c:idx val="0"/>
          <c:order val="1"/>
          <c:tx>
            <c:strRef>
              <c:f>'2023.10'!$B$1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85C1-4BBB-8A37-780AA4CA38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7-85C1-4BBB-8A37-780AA4CA38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9-85C1-4BBB-8A37-780AA4CA38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B-85C1-4BBB-8A37-780AA4CA38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D-85C1-4BBB-8A37-780AA4CA38C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F-85C1-4BBB-8A37-780AA4CA38C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1-85C1-4BBB-8A37-780AA4CA38C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3-85C1-4BBB-8A37-780AA4CA38C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5-85C1-4BBB-8A37-780AA4CA38C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7-85C1-4BBB-8A37-780AA4CA38C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9-85C1-4BBB-8A37-780AA4CA38C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B-85C1-4BBB-8A37-780AA4CA38C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D-85C1-4BBB-8A37-780AA4CA38C4}"/>
              </c:ext>
            </c:extLst>
          </c:dPt>
          <c:dPt>
            <c:idx val="13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B-F833-4E8A-A778-40B4C270F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D-F833-4E8A-A778-40B4C270F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F-3226-4818-9CC7-152B4C4AED3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9-3226-4818-9CC7-152B4C4AED3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1-0E13-4DB7-858D-50732FB3DAB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3-0E13-4DB7-858D-50732FB3DAB0}"/>
              </c:ext>
            </c:extLst>
          </c:dPt>
          <c:dPt>
            <c:idx val="19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5-0E13-4DB7-858D-50732FB3DAB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6-0E13-4DB7-858D-50732FB3DAB0}"/>
              </c:ext>
            </c:extLst>
          </c:dPt>
          <c:dLbls>
            <c:dLbl>
              <c:idx val="6"/>
              <c:layout>
                <c:manualLayout>
                  <c:x val="-0.10009366914110508"/>
                  <c:y val="-6.307478869311766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5C1-4BBB-8A37-780AA4CA38C4}"/>
                </c:ext>
              </c:extLst>
            </c:dLbl>
            <c:dLbl>
              <c:idx val="9"/>
              <c:layout>
                <c:manualLayout>
                  <c:x val="-7.8861678717234304E-2"/>
                  <c:y val="-7.246890615805008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5C1-4BBB-8A37-780AA4CA38C4}"/>
                </c:ext>
              </c:extLst>
            </c:dLbl>
            <c:dLbl>
              <c:idx val="10"/>
              <c:layout>
                <c:manualLayout>
                  <c:x val="-0.11677594733128928"/>
                  <c:y val="-8.052100684227783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5C1-4BBB-8A37-780AA4CA38C4}"/>
                </c:ext>
              </c:extLst>
            </c:dLbl>
            <c:dLbl>
              <c:idx val="11"/>
              <c:layout>
                <c:manualLayout>
                  <c:x val="-9.7060527651980713E-2"/>
                  <c:y val="-9.528319143002880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5C1-4BBB-8A37-780AA4CA38C4}"/>
                </c:ext>
              </c:extLst>
            </c:dLbl>
            <c:dLbl>
              <c:idx val="13"/>
              <c:layout>
                <c:manualLayout>
                  <c:x val="-7.886167871723436E-2"/>
                  <c:y val="-8.58890739650963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F833-4E8A-A778-40B4C270FECE}"/>
                </c:ext>
              </c:extLst>
            </c:dLbl>
            <c:dLbl>
              <c:idx val="15"/>
              <c:layout>
                <c:manualLayout>
                  <c:x val="-6.8245683505298971E-2"/>
                  <c:y val="-9.662520821073342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3226-4818-9CC7-152B4C4AED32}"/>
                </c:ext>
              </c:extLst>
            </c:dLbl>
            <c:dLbl>
              <c:idx val="17"/>
              <c:layout>
                <c:manualLayout>
                  <c:x val="-5.9146259037925732E-2"/>
                  <c:y val="-0.1087033592370750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0E13-4DB7-858D-50732FB3DAB0}"/>
                </c:ext>
              </c:extLst>
            </c:dLbl>
            <c:dLbl>
              <c:idx val="18"/>
              <c:layout>
                <c:manualLayout>
                  <c:x val="-2.7298273402119568E-2"/>
                  <c:y val="-0.122123527044121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0E13-4DB7-858D-50732FB3DAB0}"/>
                </c:ext>
              </c:extLst>
            </c:dLbl>
            <c:dLbl>
              <c:idx val="19"/>
              <c:layout>
                <c:manualLayout>
                  <c:x val="-1.8198848934746433E-2"/>
                  <c:y val="-0.1019932753335519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0E13-4DB7-858D-50732FB3DAB0}"/>
                </c:ext>
              </c:extLst>
            </c:dLbl>
            <c:dLbl>
              <c:idx val="20"/>
              <c:layout>
                <c:manualLayout>
                  <c:x val="-3.0331414891245079E-3"/>
                  <c:y val="-0.1154134431405982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0E13-4DB7-858D-50732FB3DA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'2023.10'!$A$2:$A$26</c15:sqref>
                  </c15:fullRef>
                </c:ext>
              </c:extLst>
              <c:f>'2023.10'!$A$3:$A$23</c:f>
              <c:strCache>
                <c:ptCount val="21"/>
                <c:pt idx="0">
                  <c:v>디펜스</c:v>
                </c:pt>
                <c:pt idx="1">
                  <c:v>컴까기</c:v>
                </c:pt>
                <c:pt idx="2">
                  <c:v>캠페인</c:v>
                </c:pt>
                <c:pt idx="3">
                  <c:v>컨트롤</c:v>
                </c:pt>
                <c:pt idx="4">
                  <c:v>RPG</c:v>
                </c:pt>
                <c:pt idx="5">
                  <c:v>대전</c:v>
                </c:pt>
                <c:pt idx="6">
                  <c:v>서바이벌</c:v>
                </c:pt>
                <c:pt idx="7">
                  <c:v>기타</c:v>
                </c:pt>
                <c:pt idx="8">
                  <c:v>블러드</c:v>
                </c:pt>
                <c:pt idx="9">
                  <c:v>어드벤처</c:v>
                </c:pt>
                <c:pt idx="10">
                  <c:v>디플로메시</c:v>
                </c:pt>
                <c:pt idx="11">
                  <c:v>밀리기반</c:v>
                </c:pt>
                <c:pt idx="12">
                  <c:v>AOS</c:v>
                </c:pt>
                <c:pt idx="13">
                  <c:v>키우기</c:v>
                </c:pt>
                <c:pt idx="14">
                  <c:v>탈출</c:v>
                </c:pt>
                <c:pt idx="15">
                  <c:v>미니게임</c:v>
                </c:pt>
                <c:pt idx="16">
                  <c:v>퍼즐</c:v>
                </c:pt>
                <c:pt idx="17">
                  <c:v>오펜스</c:v>
                </c:pt>
                <c:pt idx="18">
                  <c:v>리듬게임</c:v>
                </c:pt>
                <c:pt idx="19">
                  <c:v>추리</c:v>
                </c:pt>
                <c:pt idx="20">
                  <c:v>슈팅</c:v>
                </c:pt>
                <c:pt idx="21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'2023.10'!$B$2:$B$25</c15:sqref>
                  </c15:fullRef>
                </c:ext>
              </c:extLst>
              <c:f>'2023.10'!$B$3:$B$23</c:f>
              <c:numCache>
                <c:formatCode>General</c:formatCode>
                <c:ptCount val="21"/>
                <c:pt idx="0">
                  <c:v>16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'2023.10'!$B$2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</c15:categoryFilterException>
                <c15:categoryFilterException>
                  <c15:sqref>'2023.10'!$B$24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20"/>
                    <c:layout>
                      <c:manualLayout>
                        <c:x val="-9.0994244673732461E-3"/>
                        <c:y val="-0.1207815102634167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3.9815952795720547E-2"/>
                            <c:h val="2.7495387741934187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5B-86D8-4D81-9B30-69E1C539FB73}"/>
                      </c:ext>
                    </c:extLst>
                  </c15:dLbl>
                </c15:categoryFilterException>
                <c15:categoryFilterException>
                  <c15:sqref>'2023.10'!$B$25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6-85C1-4BBB-8A37-780AA4CA3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'2023.11'!$B$1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08-4AE5-BF2E-9053FD78E4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08-4AE5-BF2E-9053FD78E4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08-4AE5-BF2E-9053FD78E4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C08-4AE5-BF2E-9053FD78E4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C08-4AE5-BF2E-9053FD78E4D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C08-4AE5-BF2E-9053FD78E4D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C08-4AE5-BF2E-9053FD78E4D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C08-4AE5-BF2E-9053FD78E4D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C08-4AE5-BF2E-9053FD78E4D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C08-4AE5-BF2E-9053FD78E4D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C08-4AE5-BF2E-9053FD78E4D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C08-4AE5-BF2E-9053FD78E4D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C08-4AE5-BF2E-9053FD78E4D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C08-4AE5-BF2E-9053FD78E4D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C08-4AE5-BF2E-9053FD78E4D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C08-4AE5-BF2E-9053FD78E4D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AC08-4AE5-BF2E-9053FD78E4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'2023.11'!$A$2:$A$26</c15:sqref>
                  </c15:fullRef>
                </c:ext>
              </c:extLst>
              <c:f>'2023.11'!$A$3:$A$19</c:f>
              <c:strCache>
                <c:ptCount val="17"/>
                <c:pt idx="0">
                  <c:v>디펜스</c:v>
                </c:pt>
                <c:pt idx="1">
                  <c:v>캠페인</c:v>
                </c:pt>
                <c:pt idx="2">
                  <c:v>컴까기</c:v>
                </c:pt>
                <c:pt idx="3">
                  <c:v>컨트롤</c:v>
                </c:pt>
                <c:pt idx="4">
                  <c:v>대전</c:v>
                </c:pt>
                <c:pt idx="5">
                  <c:v>서바이벌</c:v>
                </c:pt>
                <c:pt idx="6">
                  <c:v>기타</c:v>
                </c:pt>
                <c:pt idx="7">
                  <c:v>미니게임</c:v>
                </c:pt>
                <c:pt idx="8">
                  <c:v>블러드</c:v>
                </c:pt>
                <c:pt idx="9">
                  <c:v>어드벤처</c:v>
                </c:pt>
                <c:pt idx="10">
                  <c:v>디플로메시</c:v>
                </c:pt>
                <c:pt idx="11">
                  <c:v>밀리기반</c:v>
                </c:pt>
                <c:pt idx="12">
                  <c:v>RPG</c:v>
                </c:pt>
                <c:pt idx="13">
                  <c:v>공포</c:v>
                </c:pt>
                <c:pt idx="14">
                  <c:v>키우기</c:v>
                </c:pt>
                <c:pt idx="15">
                  <c:v>퍼즐</c:v>
                </c:pt>
                <c:pt idx="16">
                  <c:v>오펜스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'2023.11'!$B$2:$B$26</c15:sqref>
                  </c15:fullRef>
                </c:ext>
              </c:extLst>
              <c:f>'2023.11'!$B$3:$B$19</c:f>
              <c:numCache>
                <c:formatCode>General</c:formatCode>
                <c:ptCount val="17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'2023.11'!$B$2</c15:sqref>
                  <c15:bubble3D val="0"/>
                </c15:categoryFilterException>
                <c15:categoryFilterException>
                  <c15:sqref>'2023.11'!$B$20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'2023.11'!$B$21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'2023.11'!$B$22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'2023.11'!$B$23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'2023.11'!$B$25</c15:sqref>
                  <c15:bubble3D val="0"/>
                </c15:categoryFilterException>
                <c15:categoryFilterException>
                  <c15:sqref>'2023.11'!$B$26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A-AC08-4AE5-BF2E-9053FD78E4D1}"/>
            </c:ext>
          </c:extLst>
        </c:ser>
        <c:ser>
          <c:idx val="0"/>
          <c:order val="1"/>
          <c:tx>
            <c:strRef>
              <c:f>'2023.11'!$B$1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AC08-4AE5-BF2E-9053FD78E4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AC08-4AE5-BF2E-9053FD78E4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AC08-4AE5-BF2E-9053FD78E4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AC08-4AE5-BF2E-9053FD78E4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AC08-4AE5-BF2E-9053FD78E4D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AC08-4AE5-BF2E-9053FD78E4D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AC08-4AE5-BF2E-9053FD78E4D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AC08-4AE5-BF2E-9053FD78E4D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AC08-4AE5-BF2E-9053FD78E4D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AC08-4AE5-BF2E-9053FD78E4D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AC08-4AE5-BF2E-9053FD78E4D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AC08-4AE5-BF2E-9053FD78E4D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AC08-4AE5-BF2E-9053FD78E4D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AC08-4AE5-BF2E-9053FD78E4D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AC08-4AE5-BF2E-9053FD78E4D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A-AC08-4AE5-BF2E-9053FD78E4D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C-AC08-4AE5-BF2E-9053FD78E4D1}"/>
              </c:ext>
            </c:extLst>
          </c:dPt>
          <c:dLbls>
            <c:dLbl>
              <c:idx val="6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AC08-4AE5-BF2E-9053FD78E4D1}"/>
                </c:ext>
              </c:extLst>
            </c:dLbl>
            <c:dLbl>
              <c:idx val="9"/>
              <c:layout>
                <c:manualLayout>
                  <c:x val="-2.7803475795515347E-17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AC08-4AE5-BF2E-9053FD78E4D1}"/>
                </c:ext>
              </c:extLst>
            </c:dLbl>
            <c:dLbl>
              <c:idx val="10"/>
              <c:layout>
                <c:manualLayout>
                  <c:x val="-1.5165707445621982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AC08-4AE5-BF2E-9053FD78E4D1}"/>
                </c:ext>
              </c:extLst>
            </c:dLbl>
            <c:dLbl>
              <c:idx val="11"/>
              <c:layout>
                <c:manualLayout>
                  <c:x val="-3.0331414891243964E-3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AC08-4AE5-BF2E-9053FD78E4D1}"/>
                </c:ext>
              </c:extLst>
            </c:dLbl>
            <c:dLbl>
              <c:idx val="13"/>
              <c:layout>
                <c:manualLayout>
                  <c:x val="-9.0994244673731888E-3"/>
                  <c:y val="-2.4603356759508124E-1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15952795720547E-2"/>
                      <c:h val="2.74953877419341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6-AC08-4AE5-BF2E-9053FD78E4D1}"/>
                </c:ext>
              </c:extLst>
            </c:dLbl>
            <c:dLbl>
              <c:idx val="14"/>
              <c:layout>
                <c:manualLayout>
                  <c:x val="-3.3364556380368421E-2"/>
                  <c:y val="-8.588907396509637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AC08-4AE5-BF2E-9053FD78E4D1}"/>
                </c:ext>
              </c:extLst>
            </c:dLbl>
            <c:dLbl>
              <c:idx val="15"/>
              <c:layout>
                <c:manualLayout>
                  <c:x val="-1.3649136701059729E-2"/>
                  <c:y val="-0.1100453760177797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AC08-4AE5-BF2E-9053FD78E4D1}"/>
                </c:ext>
              </c:extLst>
            </c:dLbl>
            <c:dLbl>
              <c:idx val="16"/>
              <c:layout>
                <c:manualLayout>
                  <c:x val="-5.5606951591030695E-17"/>
                  <c:y val="-8.186302362298247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AC08-4AE5-BF2E-9053FD78E4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'2023.11'!$A$2:$A$26</c15:sqref>
                  </c15:fullRef>
                </c:ext>
              </c:extLst>
              <c:f>'2023.11'!$A$3:$A$19</c:f>
              <c:strCache>
                <c:ptCount val="17"/>
                <c:pt idx="0">
                  <c:v>디펜스</c:v>
                </c:pt>
                <c:pt idx="1">
                  <c:v>캠페인</c:v>
                </c:pt>
                <c:pt idx="2">
                  <c:v>컴까기</c:v>
                </c:pt>
                <c:pt idx="3">
                  <c:v>컨트롤</c:v>
                </c:pt>
                <c:pt idx="4">
                  <c:v>대전</c:v>
                </c:pt>
                <c:pt idx="5">
                  <c:v>서바이벌</c:v>
                </c:pt>
                <c:pt idx="6">
                  <c:v>기타</c:v>
                </c:pt>
                <c:pt idx="7">
                  <c:v>미니게임</c:v>
                </c:pt>
                <c:pt idx="8">
                  <c:v>블러드</c:v>
                </c:pt>
                <c:pt idx="9">
                  <c:v>어드벤처</c:v>
                </c:pt>
                <c:pt idx="10">
                  <c:v>디플로메시</c:v>
                </c:pt>
                <c:pt idx="11">
                  <c:v>밀리기반</c:v>
                </c:pt>
                <c:pt idx="12">
                  <c:v>RPG</c:v>
                </c:pt>
                <c:pt idx="13">
                  <c:v>공포</c:v>
                </c:pt>
                <c:pt idx="14">
                  <c:v>키우기</c:v>
                </c:pt>
                <c:pt idx="15">
                  <c:v>퍼즐</c:v>
                </c:pt>
                <c:pt idx="16">
                  <c:v>오펜스</c:v>
                </c:pt>
                <c:pt idx="17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'2023.11'!$B$2:$B$25</c15:sqref>
                  </c15:fullRef>
                </c:ext>
              </c:extLst>
              <c:f>'2023.11'!$B$3:$B$19</c:f>
              <c:numCache>
                <c:formatCode>General</c:formatCode>
                <c:ptCount val="17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'2023.11'!$B$2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</c15:categoryFilterException>
                <c15:categoryFilterException>
                  <c15:sqref>'2023.11'!$B$20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5.9146259037925732E-2"/>
                        <c:y val="-0.10870335923707508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2E16-4413-A746-C36A6A203722}"/>
                      </c:ext>
                    </c:extLst>
                  </c15:dLbl>
                </c15:categoryFilterException>
                <c15:categoryFilterException>
                  <c15:sqref>'2023.11'!$B$21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2.7298273402119568E-2"/>
                        <c:y val="-0.1221235270441214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2E16-4413-A746-C36A6A203722}"/>
                      </c:ext>
                    </c:extLst>
                  </c15:dLbl>
                </c15:categoryFilterException>
                <c15:categoryFilterException>
                  <c15:sqref>'2023.11'!$B$22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1.8198848934746433E-2"/>
                        <c:y val="-0.1019932753335519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2E16-4413-A746-C36A6A203722}"/>
                      </c:ext>
                    </c:extLst>
                  </c15:dLbl>
                </c15:categoryFilterException>
                <c15:categoryFilterException>
                  <c15:sqref>'2023.11'!$B$23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3.0331414891245079E-3"/>
                        <c:y val="-0.1154134431405982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2E16-4413-A746-C36A6A203722}"/>
                      </c:ext>
                    </c:extLst>
                  </c15:dLbl>
                </c15:categoryFilterException>
                <c15:categoryFilterException>
                  <c15:sqref>'2023.11'!$B$25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5-AC08-4AE5-BF2E-9053FD78E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'2023.11'!$B$1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4-9F28-4D01-86D9-3208131967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08-4AE5-BF2E-9053FD78E4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08-4AE5-BF2E-9053FD78E4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08-4AE5-BF2E-9053FD78E4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C08-4AE5-BF2E-9053FD78E4D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C08-4AE5-BF2E-9053FD78E4D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C08-4AE5-BF2E-9053FD78E4D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C08-4AE5-BF2E-9053FD78E4D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C08-4AE5-BF2E-9053FD78E4D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C08-4AE5-BF2E-9053FD78E4D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C08-4AE5-BF2E-9053FD78E4D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C08-4AE5-BF2E-9053FD78E4D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C08-4AE5-BF2E-9053FD78E4D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C08-4AE5-BF2E-9053FD78E4D1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C08-4AE5-BF2E-9053FD78E4D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C08-4AE5-BF2E-9053FD78E4D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C08-4AE5-BF2E-9053FD78E4D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AC08-4AE5-BF2E-9053FD78E4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'2023.11'!$A$2:$A$26</c15:sqref>
                  </c15:fullRef>
                </c:ext>
              </c:extLst>
              <c:f>'2023.11'!$A$2:$A$19</c:f>
              <c:strCache>
                <c:ptCount val="18"/>
                <c:pt idx="0">
                  <c:v>맞히기</c:v>
                </c:pt>
                <c:pt idx="1">
                  <c:v>디펜스</c:v>
                </c:pt>
                <c:pt idx="2">
                  <c:v>캠페인</c:v>
                </c:pt>
                <c:pt idx="3">
                  <c:v>컴까기</c:v>
                </c:pt>
                <c:pt idx="4">
                  <c:v>컨트롤</c:v>
                </c:pt>
                <c:pt idx="5">
                  <c:v>대전</c:v>
                </c:pt>
                <c:pt idx="6">
                  <c:v>서바이벌</c:v>
                </c:pt>
                <c:pt idx="7">
                  <c:v>기타</c:v>
                </c:pt>
                <c:pt idx="8">
                  <c:v>미니게임</c:v>
                </c:pt>
                <c:pt idx="9">
                  <c:v>블러드</c:v>
                </c:pt>
                <c:pt idx="10">
                  <c:v>어드벤처</c:v>
                </c:pt>
                <c:pt idx="11">
                  <c:v>디플로메시</c:v>
                </c:pt>
                <c:pt idx="12">
                  <c:v>밀리기반</c:v>
                </c:pt>
                <c:pt idx="13">
                  <c:v>RPG</c:v>
                </c:pt>
                <c:pt idx="14">
                  <c:v>공포</c:v>
                </c:pt>
                <c:pt idx="15">
                  <c:v>키우기</c:v>
                </c:pt>
                <c:pt idx="16">
                  <c:v>퍼즐</c:v>
                </c:pt>
                <c:pt idx="17">
                  <c:v>오펜스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'2023.11'!$B$2:$B$26</c15:sqref>
                  </c15:fullRef>
                </c:ext>
              </c:extLst>
              <c:f>'2023.11'!$B$2:$B$19</c:f>
              <c:numCache>
                <c:formatCode>General</c:formatCode>
                <c:ptCount val="18"/>
                <c:pt idx="0">
                  <c:v>36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'2023.11'!$B$20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'2023.11'!$B$21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'2023.11'!$B$22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'2023.11'!$B$23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'2023.11'!$B$25</c15:sqref>
                  <c15:bubble3D val="0"/>
                </c15:categoryFilterException>
                <c15:categoryFilterException>
                  <c15:sqref>'2023.11'!$B$26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A-AC08-4AE5-BF2E-9053FD78E4D1}"/>
            </c:ext>
          </c:extLst>
        </c:ser>
        <c:ser>
          <c:idx val="0"/>
          <c:order val="1"/>
          <c:tx>
            <c:strRef>
              <c:f>'2023.11'!$B$1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7-9F28-4D01-86D9-3208131967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AC08-4AE5-BF2E-9053FD78E4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AC08-4AE5-BF2E-9053FD78E4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AC08-4AE5-BF2E-9053FD78E4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AC08-4AE5-BF2E-9053FD78E4D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AC08-4AE5-BF2E-9053FD78E4D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AC08-4AE5-BF2E-9053FD78E4D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AC08-4AE5-BF2E-9053FD78E4D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AC08-4AE5-BF2E-9053FD78E4D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AC08-4AE5-BF2E-9053FD78E4D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AC08-4AE5-BF2E-9053FD78E4D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AC08-4AE5-BF2E-9053FD78E4D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AC08-4AE5-BF2E-9053FD78E4D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AC08-4AE5-BF2E-9053FD78E4D1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AC08-4AE5-BF2E-9053FD78E4D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AC08-4AE5-BF2E-9053FD78E4D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A-AC08-4AE5-BF2E-9053FD78E4D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C-AC08-4AE5-BF2E-9053FD78E4D1}"/>
              </c:ext>
            </c:extLst>
          </c:dPt>
          <c:dLbls>
            <c:dLbl>
              <c:idx val="7"/>
              <c:layout>
                <c:manualLayout>
                  <c:x val="3.03314148912439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AC08-4AE5-BF2E-9053FD78E4D1}"/>
                </c:ext>
              </c:extLst>
            </c:dLbl>
            <c:dLbl>
              <c:idx val="10"/>
              <c:layout>
                <c:manualLayout>
                  <c:x val="-3.0331414891243964E-3"/>
                  <c:y val="1.342016780704630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AC08-4AE5-BF2E-9053FD78E4D1}"/>
                </c:ext>
              </c:extLst>
            </c:dLbl>
            <c:dLbl>
              <c:idx val="11"/>
              <c:layout>
                <c:manualLayout>
                  <c:x val="-0.11677594733128928"/>
                  <c:y val="-8.052100684227783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AC08-4AE5-BF2E-9053FD78E4D1}"/>
                </c:ext>
              </c:extLst>
            </c:dLbl>
            <c:dLbl>
              <c:idx val="12"/>
              <c:layout>
                <c:manualLayout>
                  <c:x val="-3.0331414891244519E-3"/>
                  <c:y val="-2.68403356140928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AC08-4AE5-BF2E-9053FD78E4D1}"/>
                </c:ext>
              </c:extLst>
            </c:dLbl>
            <c:dLbl>
              <c:idx val="14"/>
              <c:layout>
                <c:manualLayout>
                  <c:x val="-3.0331414891244519E-3"/>
                  <c:y val="-4.026050342113891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3.9815952795720547E-2"/>
                      <c:h val="2.74953877419341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6-AC08-4AE5-BF2E-9053FD78E4D1}"/>
                </c:ext>
              </c:extLst>
            </c:dLbl>
            <c:dLbl>
              <c:idx val="15"/>
              <c:layout>
                <c:manualLayout>
                  <c:x val="-2.7298273402119624E-2"/>
                  <c:y val="-8.186302362298249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AC08-4AE5-BF2E-9053FD78E4D1}"/>
                </c:ext>
              </c:extLst>
            </c:dLbl>
            <c:dLbl>
              <c:idx val="16"/>
              <c:layout>
                <c:manualLayout>
                  <c:x val="-1.3649136701059729E-2"/>
                  <c:y val="-0.118097476702007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AC08-4AE5-BF2E-9053FD78E4D1}"/>
                </c:ext>
              </c:extLst>
            </c:dLbl>
            <c:dLbl>
              <c:idx val="17"/>
              <c:layout>
                <c:manualLayout>
                  <c:x val="-5.5606951591030695E-17"/>
                  <c:y val="-9.662520821073342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AC08-4AE5-BF2E-9053FD78E4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'2023.11'!$A$2:$A$26</c15:sqref>
                  </c15:fullRef>
                </c:ext>
              </c:extLst>
              <c:f>'2023.11'!$A$2:$A$19</c:f>
              <c:strCache>
                <c:ptCount val="18"/>
                <c:pt idx="0">
                  <c:v>맞히기</c:v>
                </c:pt>
                <c:pt idx="1">
                  <c:v>디펜스</c:v>
                </c:pt>
                <c:pt idx="2">
                  <c:v>캠페인</c:v>
                </c:pt>
                <c:pt idx="3">
                  <c:v>컴까기</c:v>
                </c:pt>
                <c:pt idx="4">
                  <c:v>컨트롤</c:v>
                </c:pt>
                <c:pt idx="5">
                  <c:v>대전</c:v>
                </c:pt>
                <c:pt idx="6">
                  <c:v>서바이벌</c:v>
                </c:pt>
                <c:pt idx="7">
                  <c:v>기타</c:v>
                </c:pt>
                <c:pt idx="8">
                  <c:v>미니게임</c:v>
                </c:pt>
                <c:pt idx="9">
                  <c:v>블러드</c:v>
                </c:pt>
                <c:pt idx="10">
                  <c:v>어드벤처</c:v>
                </c:pt>
                <c:pt idx="11">
                  <c:v>디플로메시</c:v>
                </c:pt>
                <c:pt idx="12">
                  <c:v>밀리기반</c:v>
                </c:pt>
                <c:pt idx="13">
                  <c:v>RPG</c:v>
                </c:pt>
                <c:pt idx="14">
                  <c:v>공포</c:v>
                </c:pt>
                <c:pt idx="15">
                  <c:v>키우기</c:v>
                </c:pt>
                <c:pt idx="16">
                  <c:v>퍼즐</c:v>
                </c:pt>
                <c:pt idx="17">
                  <c:v>오펜스</c:v>
                </c:pt>
                <c:pt idx="18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'2023.11'!$B$2:$B$25</c15:sqref>
                  </c15:fullRef>
                </c:ext>
              </c:extLst>
              <c:f>'2023.11'!$B$2:$B$19</c:f>
              <c:numCache>
                <c:formatCode>General</c:formatCode>
                <c:ptCount val="18"/>
                <c:pt idx="0">
                  <c:v>36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'2023.11'!$B$20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5.9146259037925732E-2"/>
                        <c:y val="-0.10870335923707508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5070-46A0-A49A-F7FA47E3CFC8}"/>
                      </c:ext>
                    </c:extLst>
                  </c15:dLbl>
                </c15:categoryFilterException>
                <c15:categoryFilterException>
                  <c15:sqref>'2023.11'!$B$21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2.7298273402119568E-2"/>
                        <c:y val="-0.1221235270441214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5070-46A0-A49A-F7FA47E3CFC8}"/>
                      </c:ext>
                    </c:extLst>
                  </c15:dLbl>
                </c15:categoryFilterException>
                <c15:categoryFilterException>
                  <c15:sqref>'2023.11'!$B$22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1.8198848934746433E-2"/>
                        <c:y val="-0.1019932753335519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5070-46A0-A49A-F7FA47E3CFC8}"/>
                      </c:ext>
                    </c:extLst>
                  </c15:dLbl>
                </c15:categoryFilterException>
                <c15:categoryFilterException>
                  <c15:sqref>'2023.11'!$B$23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3.0331414891245079E-3"/>
                        <c:y val="-0.1154134431405982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5070-46A0-A49A-F7FA47E3CFC8}"/>
                      </c:ext>
                    </c:extLst>
                  </c15:dLbl>
                </c15:categoryFilterException>
                <c15:categoryFilterException>
                  <c15:sqref>'2023.11'!$B$25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5-AC08-4AE5-BF2E-9053FD78E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'2023.12'!$B$1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455-412E-A356-63E25C19E4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455-412E-A356-63E25C19E4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455-412E-A356-63E25C19E4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455-412E-A356-63E25C19E4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455-412E-A356-63E25C19E4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455-412E-A356-63E25C19E4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455-412E-A356-63E25C19E49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455-412E-A356-63E25C19E49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455-412E-A356-63E25C19E49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455-412E-A356-63E25C19E49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455-412E-A356-63E25C19E49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455-412E-A356-63E25C19E49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455-412E-A356-63E25C19E49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455-412E-A356-63E25C19E49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455-412E-A356-63E25C19E4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'2023.12'!$A$2:$A$26</c15:sqref>
                  </c15:fullRef>
                </c:ext>
              </c:extLst>
              <c:f>'2023.12'!$A$3:$A$17</c:f>
              <c:strCache>
                <c:ptCount val="15"/>
                <c:pt idx="0">
                  <c:v>디펜스</c:v>
                </c:pt>
                <c:pt idx="1">
                  <c:v>대전</c:v>
                </c:pt>
                <c:pt idx="2">
                  <c:v>컴까기</c:v>
                </c:pt>
                <c:pt idx="3">
                  <c:v>컨트롤</c:v>
                </c:pt>
                <c:pt idx="4">
                  <c:v>캠페인</c:v>
                </c:pt>
                <c:pt idx="5">
                  <c:v>RPG</c:v>
                </c:pt>
                <c:pt idx="6">
                  <c:v>미니게임</c:v>
                </c:pt>
                <c:pt idx="7">
                  <c:v>서바이벌</c:v>
                </c:pt>
                <c:pt idx="8">
                  <c:v>기타</c:v>
                </c:pt>
                <c:pt idx="9">
                  <c:v>어드벤처</c:v>
                </c:pt>
                <c:pt idx="10">
                  <c:v>키우기</c:v>
                </c:pt>
                <c:pt idx="11">
                  <c:v>디플로메시</c:v>
                </c:pt>
                <c:pt idx="12">
                  <c:v>밀리기반</c:v>
                </c:pt>
                <c:pt idx="13">
                  <c:v>오펜스</c:v>
                </c:pt>
                <c:pt idx="14">
                  <c:v>퍼즐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'2023.12'!$B$2:$B$26</c15:sqref>
                  </c15:fullRef>
                </c:ext>
              </c:extLst>
              <c:f>'2023.12'!$B$3:$B$17</c:f>
              <c:numCache>
                <c:formatCode>General</c:formatCode>
                <c:ptCount val="15"/>
                <c:pt idx="0">
                  <c:v>17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'2023.12'!$B$2</c15:sqref>
                  <c15:bubble3D val="0"/>
                </c15:categoryFilterException>
                <c15:categoryFilterException>
                  <c15:sqref>'2023.12'!$B$18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'2023.12'!$B$19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'2023.12'!$B$20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'2023.12'!$B$21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'2023.12'!$B$22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'2023.12'!$B$23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'2023.12'!$B$25</c15:sqref>
                  <c15:bubble3D val="0"/>
                </c15:categoryFilterException>
                <c15:categoryFilterException>
                  <c15:sqref>'2023.12'!$B$26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2-C455-412E-A356-63E25C19E492}"/>
            </c:ext>
          </c:extLst>
        </c:ser>
        <c:ser>
          <c:idx val="0"/>
          <c:order val="1"/>
          <c:tx>
            <c:strRef>
              <c:f>'2023.12'!$B$1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C455-412E-A356-63E25C19E4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C455-412E-A356-63E25C19E4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C455-412E-A356-63E25C19E4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C455-412E-A356-63E25C19E4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C455-412E-A356-63E25C19E4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C455-412E-A356-63E25C19E4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C455-412E-A356-63E25C19E49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C455-412E-A356-63E25C19E49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C455-412E-A356-63E25C19E49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C455-412E-A356-63E25C19E49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C455-412E-A356-63E25C19E49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C455-412E-A356-63E25C19E49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C455-412E-A356-63E25C19E49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C455-412E-A356-63E25C19E49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C455-412E-A356-63E25C19E492}"/>
              </c:ext>
            </c:extLst>
          </c:dPt>
          <c:dLbls>
            <c:dLbl>
              <c:idx val="6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455-412E-A356-63E25C19E492}"/>
                </c:ext>
              </c:extLst>
            </c:dLbl>
            <c:dLbl>
              <c:idx val="9"/>
              <c:layout>
                <c:manualLayout>
                  <c:x val="-2.7803475795515347E-17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455-412E-A356-63E25C19E492}"/>
                </c:ext>
              </c:extLst>
            </c:dLbl>
            <c:dLbl>
              <c:idx val="10"/>
              <c:layout>
                <c:manualLayout>
                  <c:x val="-1.5165707445621982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455-412E-A356-63E25C19E492}"/>
                </c:ext>
              </c:extLst>
            </c:dLbl>
            <c:dLbl>
              <c:idx val="11"/>
              <c:layout>
                <c:manualLayout>
                  <c:x val="-9.251081541829409E-2"/>
                  <c:y val="-7.91789900615732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455-412E-A356-63E25C19E492}"/>
                </c:ext>
              </c:extLst>
            </c:dLbl>
            <c:dLbl>
              <c:idx val="12"/>
              <c:layout>
                <c:manualLayout>
                  <c:x val="-3.6397697869492755E-2"/>
                  <c:y val="-9.259915786861951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455-412E-A356-63E25C19E492}"/>
                </c:ext>
              </c:extLst>
            </c:dLbl>
            <c:dLbl>
              <c:idx val="13"/>
              <c:layout>
                <c:manualLayout>
                  <c:x val="-2.8056499066891095E-2"/>
                  <c:y val="-0.1160844515309505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2564513964153509E-2"/>
                      <c:h val="2.6153370961229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E-C455-412E-A356-63E25C19E492}"/>
                </c:ext>
              </c:extLst>
            </c:dLbl>
            <c:dLbl>
              <c:idx val="14"/>
              <c:layout>
                <c:manualLayout>
                  <c:x val="-1.5165707445622539E-3"/>
                  <c:y val="-9.662520821073340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455-412E-A356-63E25C19E4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'2023.12'!$A$2:$A$26</c15:sqref>
                  </c15:fullRef>
                </c:ext>
              </c:extLst>
              <c:f>'2023.12'!$A$3:$A$17</c:f>
              <c:strCache>
                <c:ptCount val="15"/>
                <c:pt idx="0">
                  <c:v>디펜스</c:v>
                </c:pt>
                <c:pt idx="1">
                  <c:v>대전</c:v>
                </c:pt>
                <c:pt idx="2">
                  <c:v>컴까기</c:v>
                </c:pt>
                <c:pt idx="3">
                  <c:v>컨트롤</c:v>
                </c:pt>
                <c:pt idx="4">
                  <c:v>캠페인</c:v>
                </c:pt>
                <c:pt idx="5">
                  <c:v>RPG</c:v>
                </c:pt>
                <c:pt idx="6">
                  <c:v>미니게임</c:v>
                </c:pt>
                <c:pt idx="7">
                  <c:v>서바이벌</c:v>
                </c:pt>
                <c:pt idx="8">
                  <c:v>기타</c:v>
                </c:pt>
                <c:pt idx="9">
                  <c:v>어드벤처</c:v>
                </c:pt>
                <c:pt idx="10">
                  <c:v>키우기</c:v>
                </c:pt>
                <c:pt idx="11">
                  <c:v>디플로메시</c:v>
                </c:pt>
                <c:pt idx="12">
                  <c:v>밀리기반</c:v>
                </c:pt>
                <c:pt idx="13">
                  <c:v>오펜스</c:v>
                </c:pt>
                <c:pt idx="14">
                  <c:v>퍼즐</c:v>
                </c:pt>
                <c:pt idx="15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'2023.12'!$B$2:$B$25</c15:sqref>
                  </c15:fullRef>
                </c:ext>
              </c:extLst>
              <c:f>'2023.12'!$B$3:$B$17</c:f>
              <c:numCache>
                <c:formatCode>General</c:formatCode>
                <c:ptCount val="15"/>
                <c:pt idx="0">
                  <c:v>17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'2023.12'!$B$2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</c15:categoryFilterException>
                <c15:categoryFilterException>
                  <c15:sqref>'2023.12'!$B$18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1.3649136701059729E-2"/>
                        <c:y val="-0.11004537601777971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D-3178-4AD7-ABA9-00BA4E796F4A}"/>
                      </c:ext>
                    </c:extLst>
                  </c15:dLbl>
                </c15:categoryFilterException>
                <c15:categoryFilterException>
                  <c15:sqref>'2023.12'!$B$19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5.5606951591030695E-17"/>
                        <c:y val="-8.1863023622982478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F-3178-4AD7-ABA9-00BA4E796F4A}"/>
                      </c:ext>
                    </c:extLst>
                  </c15:dLbl>
                </c15:categoryFilterException>
                <c15:categoryFilterException>
                  <c15:sqref>'2023.12'!$B$20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5.9146259037925732E-2"/>
                        <c:y val="-0.10870335923707508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3178-4AD7-ABA9-00BA4E796F4A}"/>
                      </c:ext>
                    </c:extLst>
                  </c15:dLbl>
                </c15:categoryFilterException>
                <c15:categoryFilterException>
                  <c15:sqref>'2023.12'!$B$21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2.7298273402119568E-2"/>
                        <c:y val="-0.1221235270441214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3178-4AD7-ABA9-00BA4E796F4A}"/>
                      </c:ext>
                    </c:extLst>
                  </c15:dLbl>
                </c15:categoryFilterException>
                <c15:categoryFilterException>
                  <c15:sqref>'2023.12'!$B$22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1.8198848934746433E-2"/>
                        <c:y val="-0.1019932753335519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3178-4AD7-ABA9-00BA4E796F4A}"/>
                      </c:ext>
                    </c:extLst>
                  </c15:dLbl>
                </c15:categoryFilterException>
                <c15:categoryFilterException>
                  <c15:sqref>'2023.12'!$B$23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3.0331414891245079E-3"/>
                        <c:y val="-0.1154134431405982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3178-4AD7-ABA9-00BA4E796F4A}"/>
                      </c:ext>
                    </c:extLst>
                  </c15:dLbl>
                </c15:categoryFilterException>
                <c15:categoryFilterException>
                  <c15:sqref>'2023.12'!$B$25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5-C455-412E-A356-63E25C19E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'2023.12'!$B$1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8B-4175-BB04-9955AF7071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8B-4175-BB04-9955AF7071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8B-4175-BB04-9955AF7071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38B-4175-BB04-9955AF7071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38B-4175-BB04-9955AF7071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38B-4175-BB04-9955AF7071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38B-4175-BB04-9955AF7071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38B-4175-BB04-9955AF7071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38B-4175-BB04-9955AF7071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38B-4175-BB04-9955AF7071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38B-4175-BB04-9955AF7071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38B-4175-BB04-9955AF7071A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38B-4175-BB04-9955AF7071A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38B-4175-BB04-9955AF7071A4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38B-4175-BB04-9955AF7071A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38B-4175-BB04-9955AF7071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'2023.12'!$A$2:$A$26</c15:sqref>
                  </c15:fullRef>
                </c:ext>
              </c:extLst>
              <c:f>'2023.12'!$A$2:$A$17</c:f>
              <c:strCache>
                <c:ptCount val="16"/>
                <c:pt idx="0">
                  <c:v>맞히기</c:v>
                </c:pt>
                <c:pt idx="1">
                  <c:v>디펜스</c:v>
                </c:pt>
                <c:pt idx="2">
                  <c:v>대전</c:v>
                </c:pt>
                <c:pt idx="3">
                  <c:v>컴까기</c:v>
                </c:pt>
                <c:pt idx="4">
                  <c:v>컨트롤</c:v>
                </c:pt>
                <c:pt idx="5">
                  <c:v>캠페인</c:v>
                </c:pt>
                <c:pt idx="6">
                  <c:v>RPG</c:v>
                </c:pt>
                <c:pt idx="7">
                  <c:v>미니게임</c:v>
                </c:pt>
                <c:pt idx="8">
                  <c:v>서바이벌</c:v>
                </c:pt>
                <c:pt idx="9">
                  <c:v>기타</c:v>
                </c:pt>
                <c:pt idx="10">
                  <c:v>어드벤처</c:v>
                </c:pt>
                <c:pt idx="11">
                  <c:v>키우기</c:v>
                </c:pt>
                <c:pt idx="12">
                  <c:v>디플로메시</c:v>
                </c:pt>
                <c:pt idx="13">
                  <c:v>밀리기반</c:v>
                </c:pt>
                <c:pt idx="14">
                  <c:v>오펜스</c:v>
                </c:pt>
                <c:pt idx="15">
                  <c:v>퍼즐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'2023.12'!$B$2:$B$26</c15:sqref>
                  </c15:fullRef>
                </c:ext>
              </c:extLst>
              <c:f>'2023.12'!$B$2:$B$17</c:f>
              <c:numCache>
                <c:formatCode>General</c:formatCode>
                <c:ptCount val="16"/>
                <c:pt idx="0">
                  <c:v>37</c:v>
                </c:pt>
                <c:pt idx="1">
                  <c:v>17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'2023.12'!$B$18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'2023.12'!$B$19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'2023.12'!$B$20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'2023.12'!$B$21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'2023.12'!$B$22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'2023.12'!$B$23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'2023.12'!$B$25</c15:sqref>
                  <c15:bubble3D val="0"/>
                </c15:categoryFilterException>
                <c15:categoryFilterException>
                  <c15:sqref>'2023.12'!$B$26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4-438B-4175-BB04-9955AF7071A4}"/>
            </c:ext>
          </c:extLst>
        </c:ser>
        <c:ser>
          <c:idx val="0"/>
          <c:order val="1"/>
          <c:tx>
            <c:strRef>
              <c:f>'2023.12'!$B$1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438B-4175-BB04-9955AF7071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438B-4175-BB04-9955AF7071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438B-4175-BB04-9955AF7071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438B-4175-BB04-9955AF7071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438B-4175-BB04-9955AF7071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438B-4175-BB04-9955AF7071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438B-4175-BB04-9955AF7071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438B-4175-BB04-9955AF7071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438B-4175-BB04-9955AF7071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438B-4175-BB04-9955AF7071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438B-4175-BB04-9955AF7071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438B-4175-BB04-9955AF7071A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438B-4175-BB04-9955AF7071A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438B-4175-BB04-9955AF7071A4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438B-4175-BB04-9955AF7071A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438B-4175-BB04-9955AF7071A4}"/>
              </c:ext>
            </c:extLst>
          </c:dPt>
          <c:dLbls>
            <c:dLbl>
              <c:idx val="7"/>
              <c:layout>
                <c:manualLayout>
                  <c:x val="3.03314148912439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438B-4175-BB04-9955AF7071A4}"/>
                </c:ext>
              </c:extLst>
            </c:dLbl>
            <c:dLbl>
              <c:idx val="10"/>
              <c:layout>
                <c:manualLayout>
                  <c:x val="-3.0331414891243964E-3"/>
                  <c:y val="1.342016780704630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438B-4175-BB04-9955AF7071A4}"/>
                </c:ext>
              </c:extLst>
            </c:dLbl>
            <c:dLbl>
              <c:idx val="11"/>
              <c:layout>
                <c:manualLayout>
                  <c:x val="-6.6729112760736731E-2"/>
                  <c:y val="-6.710083903523153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438B-4175-BB04-9955AF7071A4}"/>
                </c:ext>
              </c:extLst>
            </c:dLbl>
            <c:dLbl>
              <c:idx val="12"/>
              <c:layout>
                <c:manualLayout>
                  <c:x val="-0.10161023988566731"/>
                  <c:y val="-9.796722499143803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438B-4175-BB04-9955AF7071A4}"/>
                </c:ext>
              </c:extLst>
            </c:dLbl>
            <c:dLbl>
              <c:idx val="13"/>
              <c:layout>
                <c:manualLayout>
                  <c:x val="-3.9430839358617208E-2"/>
                  <c:y val="-9.394117464932416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438B-4175-BB04-9955AF7071A4}"/>
                </c:ext>
              </c:extLst>
            </c:dLbl>
            <c:dLbl>
              <c:idx val="14"/>
              <c:layout>
                <c:manualLayout>
                  <c:x val="-1.7440563562465223E-2"/>
                  <c:y val="-7.850798167122088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5.6498230985904736E-2"/>
                      <c:h val="2.883740452263881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2-438B-4175-BB04-9955AF7071A4}"/>
                </c:ext>
              </c:extLst>
            </c:dLbl>
            <c:dLbl>
              <c:idx val="15"/>
              <c:layout>
                <c:manualLayout>
                  <c:x val="-4.5497122336866508E-3"/>
                  <c:y val="-0.1033352921142565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438B-4175-BB04-9955AF7071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'2023.12'!$A$2:$A$26</c15:sqref>
                  </c15:fullRef>
                </c:ext>
              </c:extLst>
              <c:f>'2023.12'!$A$2:$A$17</c:f>
              <c:strCache>
                <c:ptCount val="16"/>
                <c:pt idx="0">
                  <c:v>맞히기</c:v>
                </c:pt>
                <c:pt idx="1">
                  <c:v>디펜스</c:v>
                </c:pt>
                <c:pt idx="2">
                  <c:v>대전</c:v>
                </c:pt>
                <c:pt idx="3">
                  <c:v>컴까기</c:v>
                </c:pt>
                <c:pt idx="4">
                  <c:v>컨트롤</c:v>
                </c:pt>
                <c:pt idx="5">
                  <c:v>캠페인</c:v>
                </c:pt>
                <c:pt idx="6">
                  <c:v>RPG</c:v>
                </c:pt>
                <c:pt idx="7">
                  <c:v>미니게임</c:v>
                </c:pt>
                <c:pt idx="8">
                  <c:v>서바이벌</c:v>
                </c:pt>
                <c:pt idx="9">
                  <c:v>기타</c:v>
                </c:pt>
                <c:pt idx="10">
                  <c:v>어드벤처</c:v>
                </c:pt>
                <c:pt idx="11">
                  <c:v>키우기</c:v>
                </c:pt>
                <c:pt idx="12">
                  <c:v>디플로메시</c:v>
                </c:pt>
                <c:pt idx="13">
                  <c:v>밀리기반</c:v>
                </c:pt>
                <c:pt idx="14">
                  <c:v>오펜스</c:v>
                </c:pt>
                <c:pt idx="15">
                  <c:v>퍼즐</c:v>
                </c:pt>
                <c:pt idx="16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'2023.12'!$B$2:$B$25</c15:sqref>
                  </c15:fullRef>
                </c:ext>
              </c:extLst>
              <c:f>'2023.12'!$B$2:$B$17</c:f>
              <c:numCache>
                <c:formatCode>General</c:formatCode>
                <c:ptCount val="16"/>
                <c:pt idx="0">
                  <c:v>37</c:v>
                </c:pt>
                <c:pt idx="1">
                  <c:v>17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'2023.12'!$B$18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1.3649136701059729E-2"/>
                        <c:y val="-0.1180974767020075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F-895D-4033-A27C-CBCC5AF3874E}"/>
                      </c:ext>
                    </c:extLst>
                  </c15:dLbl>
                </c15:categoryFilterException>
                <c15:categoryFilterException>
                  <c15:sqref>'2023.12'!$B$19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5.5606951591030695E-17"/>
                        <c:y val="-9.6625208210733421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895D-4033-A27C-CBCC5AF3874E}"/>
                      </c:ext>
                    </c:extLst>
                  </c15:dLbl>
                </c15:categoryFilterException>
                <c15:categoryFilterException>
                  <c15:sqref>'2023.12'!$B$20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5.9146259037925732E-2"/>
                        <c:y val="-0.10870335923707508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895D-4033-A27C-CBCC5AF3874E}"/>
                      </c:ext>
                    </c:extLst>
                  </c15:dLbl>
                </c15:categoryFilterException>
                <c15:categoryFilterException>
                  <c15:sqref>'2023.12'!$B$21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2.7298273402119568E-2"/>
                        <c:y val="-0.1221235270441214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895D-4033-A27C-CBCC5AF3874E}"/>
                      </c:ext>
                    </c:extLst>
                  </c15:dLbl>
                </c15:categoryFilterException>
                <c15:categoryFilterException>
                  <c15:sqref>'2023.12'!$B$22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1.8198848934746433E-2"/>
                        <c:y val="-0.1019932753335519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895D-4033-A27C-CBCC5AF3874E}"/>
                      </c:ext>
                    </c:extLst>
                  </c15:dLbl>
                </c15:categoryFilterException>
                <c15:categoryFilterException>
                  <c15:sqref>'2023.12'!$B$23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3.0331414891245079E-3"/>
                        <c:y val="-0.1154134431405982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895D-4033-A27C-CBCC5AF3874E}"/>
                      </c:ext>
                    </c:extLst>
                  </c15:dLbl>
                </c15:categoryFilterException>
                <c15:categoryFilterException>
                  <c15:sqref>'2023.12'!$B$25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9-438B-4175-BB04-9955AF707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'2024.01'!$B$1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0E7-4882-B9BC-8706FA3D75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0E7-4882-B9BC-8706FA3D75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0E7-4882-B9BC-8706FA3D75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0E7-4882-B9BC-8706FA3D75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0E7-4882-B9BC-8706FA3D756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0E7-4882-B9BC-8706FA3D756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0E7-4882-B9BC-8706FA3D756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0E7-4882-B9BC-8706FA3D756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0E7-4882-B9BC-8706FA3D756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0E7-4882-B9BC-8706FA3D7564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0E7-4882-B9BC-8706FA3D7564}"/>
              </c:ext>
            </c:extLst>
          </c:dPt>
          <c:dPt>
            <c:idx val="11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0E7-4882-B9BC-8706FA3D756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0E7-4882-B9BC-8706FA3D756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0E7-4882-B9BC-8706FA3D756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0E7-4882-B9BC-8706FA3D756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D0E7-4882-B9BC-8706FA3D756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D0E7-4882-B9BC-8706FA3D7564}"/>
              </c:ext>
            </c:extLst>
          </c:dPt>
          <c:dPt>
            <c:idx val="1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D0E7-4882-B9BC-8706FA3D75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'2024.01'!$A$2:$A$26</c15:sqref>
                  </c15:fullRef>
                </c:ext>
              </c:extLst>
              <c:f>'2024.01'!$A$3:$A$20</c:f>
              <c:strCache>
                <c:ptCount val="18"/>
                <c:pt idx="0">
                  <c:v>컨트롤</c:v>
                </c:pt>
                <c:pt idx="1">
                  <c:v>디펜스</c:v>
                </c:pt>
                <c:pt idx="2">
                  <c:v>기타</c:v>
                </c:pt>
                <c:pt idx="3">
                  <c:v>컴까기</c:v>
                </c:pt>
                <c:pt idx="4">
                  <c:v>대전</c:v>
                </c:pt>
                <c:pt idx="5">
                  <c:v>캠페인</c:v>
                </c:pt>
                <c:pt idx="6">
                  <c:v>RPG</c:v>
                </c:pt>
                <c:pt idx="7">
                  <c:v>미니게임</c:v>
                </c:pt>
                <c:pt idx="8">
                  <c:v>서바이벌</c:v>
                </c:pt>
                <c:pt idx="9">
                  <c:v>밀리기반</c:v>
                </c:pt>
                <c:pt idx="10">
                  <c:v>공포</c:v>
                </c:pt>
                <c:pt idx="11">
                  <c:v>리듬게임</c:v>
                </c:pt>
                <c:pt idx="12">
                  <c:v>슈팅</c:v>
                </c:pt>
                <c:pt idx="13">
                  <c:v>어드벤처</c:v>
                </c:pt>
                <c:pt idx="14">
                  <c:v>키우기</c:v>
                </c:pt>
                <c:pt idx="15">
                  <c:v>디플로메시</c:v>
                </c:pt>
                <c:pt idx="16">
                  <c:v>퍼즐</c:v>
                </c:pt>
                <c:pt idx="17">
                  <c:v>블러드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'2024.01'!$B$2:$B$26</c15:sqref>
                  </c15:fullRef>
                </c:ext>
              </c:extLst>
              <c:f>'2024.01'!$B$3:$B$20</c:f>
              <c:numCache>
                <c:formatCode>General</c:formatCode>
                <c:ptCount val="18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'2024.01'!$B$2</c15:sqref>
                  <c15:bubble3D val="0"/>
                </c15:categoryFilterException>
                <c15:categoryFilterException>
                  <c15:sqref>'2024.01'!$B$22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'2024.01'!$B$23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'2024.01'!$B$24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'2024.01'!$B$25</c15:sqref>
                  <c15:bubble3D val="0"/>
                </c15:categoryFilterException>
                <c15:categoryFilterException>
                  <c15:sqref>'2024.01'!$B$26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E-D0E7-4882-B9BC-8706FA3D7564}"/>
            </c:ext>
          </c:extLst>
        </c:ser>
        <c:ser>
          <c:idx val="0"/>
          <c:order val="1"/>
          <c:tx>
            <c:strRef>
              <c:f>'2024.01'!$A$1</c:f>
              <c:strCache>
                <c:ptCount val="1"/>
                <c:pt idx="0">
                  <c:v>장르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0-D0E7-4882-B9BC-8706FA3D75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2-D0E7-4882-B9BC-8706FA3D75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D0E7-4882-B9BC-8706FA3D75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D0E7-4882-B9BC-8706FA3D75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D0E7-4882-B9BC-8706FA3D756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D0E7-4882-B9BC-8706FA3D756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D0E7-4882-B9BC-8706FA3D756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D0E7-4882-B9BC-8706FA3D756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D0E7-4882-B9BC-8706FA3D756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D0E7-4882-B9BC-8706FA3D7564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D0E7-4882-B9BC-8706FA3D7564}"/>
              </c:ext>
            </c:extLst>
          </c:dPt>
          <c:dPt>
            <c:idx val="11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D0E7-4882-B9BC-8706FA3D756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D0E7-4882-B9BC-8706FA3D756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D0E7-4882-B9BC-8706FA3D756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D0E7-4882-B9BC-8706FA3D756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F-D0E7-4882-B9BC-8706FA3D756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1-D0E7-4882-B9BC-8706FA3D7564}"/>
              </c:ext>
            </c:extLst>
          </c:dPt>
          <c:dPt>
            <c:idx val="1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3-D0E7-4882-B9BC-8706FA3D7564}"/>
              </c:ext>
            </c:extLst>
          </c:dPt>
          <c:dLbls>
            <c:dLbl>
              <c:idx val="6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0E7-4882-B9BC-8706FA3D7564}"/>
                </c:ext>
              </c:extLst>
            </c:dLbl>
            <c:dLbl>
              <c:idx val="9"/>
              <c:layout>
                <c:manualLayout>
                  <c:x val="-2.7803475795515347E-17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D0E7-4882-B9BC-8706FA3D7564}"/>
                </c:ext>
              </c:extLst>
            </c:dLbl>
            <c:dLbl>
              <c:idx val="10"/>
              <c:layout>
                <c:manualLayout>
                  <c:x val="0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D0E7-4882-B9BC-8706FA3D7564}"/>
                </c:ext>
              </c:extLst>
            </c:dLbl>
            <c:dLbl>
              <c:idx val="11"/>
              <c:layout>
                <c:manualLayout>
                  <c:x val="-0.11829251807585146"/>
                  <c:y val="-7.515293971945931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D0E7-4882-B9BC-8706FA3D7564}"/>
                </c:ext>
              </c:extLst>
            </c:dLbl>
            <c:dLbl>
              <c:idx val="12"/>
              <c:layout>
                <c:manualLayout>
                  <c:x val="-3.0331414891243964E-3"/>
                  <c:y val="-2.68403356140928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D0E7-4882-B9BC-8706FA3D7564}"/>
                </c:ext>
              </c:extLst>
            </c:dLbl>
            <c:dLbl>
              <c:idx val="13"/>
              <c:layout>
                <c:manualLayout>
                  <c:x val="-8.9477554514150501E-2"/>
                  <c:y val="-7.98499984519255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213650665213309E-2"/>
                      <c:h val="2.6153370961229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A-D0E7-4882-B9BC-8706FA3D7564}"/>
                </c:ext>
              </c:extLst>
            </c:dLbl>
            <c:dLbl>
              <c:idx val="14"/>
              <c:layout>
                <c:manualLayout>
                  <c:x val="-7.5828537228109907E-2"/>
                  <c:y val="-0.1006512585528473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D0E7-4882-B9BC-8706FA3D7564}"/>
                </c:ext>
              </c:extLst>
            </c:dLbl>
            <c:dLbl>
              <c:idx val="15"/>
              <c:layout>
                <c:manualLayout>
                  <c:x val="-3.7914268614054954E-2"/>
                  <c:y val="-0.1194394934827121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D0E7-4882-B9BC-8706FA3D7564}"/>
                </c:ext>
              </c:extLst>
            </c:dLbl>
            <c:dLbl>
              <c:idx val="17"/>
              <c:layout>
                <c:manualLayout>
                  <c:x val="-3.0331414891245079E-3"/>
                  <c:y val="-9.394117464932415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D0E7-4882-B9BC-8706FA3D75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'2024.01'!$A$2:$A$26</c15:sqref>
                  </c15:fullRef>
                </c:ext>
              </c:extLst>
              <c:f>'2024.01'!$A$3:$A$20</c:f>
              <c:strCache>
                <c:ptCount val="18"/>
                <c:pt idx="0">
                  <c:v>컨트롤</c:v>
                </c:pt>
                <c:pt idx="1">
                  <c:v>디펜스</c:v>
                </c:pt>
                <c:pt idx="2">
                  <c:v>기타</c:v>
                </c:pt>
                <c:pt idx="3">
                  <c:v>컴까기</c:v>
                </c:pt>
                <c:pt idx="4">
                  <c:v>대전</c:v>
                </c:pt>
                <c:pt idx="5">
                  <c:v>캠페인</c:v>
                </c:pt>
                <c:pt idx="6">
                  <c:v>RPG</c:v>
                </c:pt>
                <c:pt idx="7">
                  <c:v>미니게임</c:v>
                </c:pt>
                <c:pt idx="8">
                  <c:v>서바이벌</c:v>
                </c:pt>
                <c:pt idx="9">
                  <c:v>밀리기반</c:v>
                </c:pt>
                <c:pt idx="10">
                  <c:v>공포</c:v>
                </c:pt>
                <c:pt idx="11">
                  <c:v>리듬게임</c:v>
                </c:pt>
                <c:pt idx="12">
                  <c:v>슈팅</c:v>
                </c:pt>
                <c:pt idx="13">
                  <c:v>어드벤처</c:v>
                </c:pt>
                <c:pt idx="14">
                  <c:v>키우기</c:v>
                </c:pt>
                <c:pt idx="15">
                  <c:v>디플로메시</c:v>
                </c:pt>
                <c:pt idx="16">
                  <c:v>퍼즐</c:v>
                </c:pt>
                <c:pt idx="17">
                  <c:v>블러드</c:v>
                </c:pt>
                <c:pt idx="18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'2024.01'!$B$2:$B$25</c15:sqref>
                  </c15:fullRef>
                </c:ext>
              </c:extLst>
              <c:f>'2024.01'!$B$3:$B$20</c:f>
              <c:numCache>
                <c:formatCode>General</c:formatCode>
                <c:ptCount val="18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'2024.01'!$B$2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</c15:categoryFilterException>
                <c15:categoryFilterException>
                  <c15:sqref>'2024.01'!$B$22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5.9146259037925732E-2"/>
                        <c:y val="-0.10870335923707508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5688-418C-AF80-768CC71723A0}"/>
                      </c:ext>
                    </c:extLst>
                  </c15:dLbl>
                </c15:categoryFilterException>
                <c15:categoryFilterException>
                  <c15:sqref>'2024.01'!$B$23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2.7298273402119568E-2"/>
                        <c:y val="-0.1221235270441214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5688-418C-AF80-768CC71723A0}"/>
                      </c:ext>
                    </c:extLst>
                  </c15:dLbl>
                </c15:categoryFilterException>
                <c15:categoryFilterException>
                  <c15:sqref>'2024.01'!$B$24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3.0331414891245079E-3"/>
                        <c:y val="-0.1154134431405982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5688-418C-AF80-768CC71723A0}"/>
                      </c:ext>
                    </c:extLst>
                  </c15:dLbl>
                </c15:categoryFilterException>
                <c15:categoryFilterException>
                  <c15:sqref>'2024.01'!$B$25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D-D0E7-4882-B9BC-8706FA3D7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'2024.01'!$B$1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E6-49F3-B19F-0D4F004E60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E6-49F3-B19F-0D4F004E60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E6-49F3-B19F-0D4F004E60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BE6-49F3-B19F-0D4F004E60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BE6-49F3-B19F-0D4F004E60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BE6-49F3-B19F-0D4F004E60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BE6-49F3-B19F-0D4F004E60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BE6-49F3-B19F-0D4F004E600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BE6-49F3-B19F-0D4F004E60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BE6-49F3-B19F-0D4F004E600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BE6-49F3-B19F-0D4F004E600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BE6-49F3-B19F-0D4F004E600C}"/>
              </c:ext>
            </c:extLst>
          </c:dPt>
          <c:dPt>
            <c:idx val="1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BE6-49F3-B19F-0D4F004E600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BE6-49F3-B19F-0D4F004E600C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BE6-49F3-B19F-0D4F004E600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BE6-49F3-B19F-0D4F004E600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4BE6-49F3-B19F-0D4F004E600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4BE6-49F3-B19F-0D4F004E600C}"/>
              </c:ext>
            </c:extLst>
          </c:dPt>
          <c:dPt>
            <c:idx val="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4BE6-49F3-B19F-0D4F004E60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'2024.01'!$A$2:$A$26</c15:sqref>
                  </c15:fullRef>
                </c:ext>
              </c:extLst>
              <c:f>'2024.01'!$A$2:$A$20</c:f>
              <c:strCache>
                <c:ptCount val="19"/>
                <c:pt idx="0">
                  <c:v>맞히기</c:v>
                </c:pt>
                <c:pt idx="1">
                  <c:v>컨트롤</c:v>
                </c:pt>
                <c:pt idx="2">
                  <c:v>디펜스</c:v>
                </c:pt>
                <c:pt idx="3">
                  <c:v>기타</c:v>
                </c:pt>
                <c:pt idx="4">
                  <c:v>컴까기</c:v>
                </c:pt>
                <c:pt idx="5">
                  <c:v>대전</c:v>
                </c:pt>
                <c:pt idx="6">
                  <c:v>캠페인</c:v>
                </c:pt>
                <c:pt idx="7">
                  <c:v>RPG</c:v>
                </c:pt>
                <c:pt idx="8">
                  <c:v>미니게임</c:v>
                </c:pt>
                <c:pt idx="9">
                  <c:v>서바이벌</c:v>
                </c:pt>
                <c:pt idx="10">
                  <c:v>밀리기반</c:v>
                </c:pt>
                <c:pt idx="11">
                  <c:v>공포</c:v>
                </c:pt>
                <c:pt idx="12">
                  <c:v>리듬게임</c:v>
                </c:pt>
                <c:pt idx="13">
                  <c:v>슈팅</c:v>
                </c:pt>
                <c:pt idx="14">
                  <c:v>어드벤처</c:v>
                </c:pt>
                <c:pt idx="15">
                  <c:v>키우기</c:v>
                </c:pt>
                <c:pt idx="16">
                  <c:v>디플로메시</c:v>
                </c:pt>
                <c:pt idx="17">
                  <c:v>퍼즐</c:v>
                </c:pt>
                <c:pt idx="18">
                  <c:v>블러드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'2024.01'!$B$2:$B$26</c15:sqref>
                  </c15:fullRef>
                </c:ext>
              </c:extLst>
              <c:f>'2024.01'!$B$2:$B$20</c:f>
              <c:numCache>
                <c:formatCode>General</c:formatCode>
                <c:ptCount val="19"/>
                <c:pt idx="0">
                  <c:v>47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'2024.01'!$B$22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'2024.01'!$B$23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'2024.01'!$B$24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'2024.01'!$B$25</c15:sqref>
                  <c15:bubble3D val="0"/>
                </c15:categoryFilterException>
                <c15:categoryFilterException>
                  <c15:sqref>'2024.01'!$B$26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0-4BE6-49F3-B19F-0D4F004E600C}"/>
            </c:ext>
          </c:extLst>
        </c:ser>
        <c:ser>
          <c:idx val="0"/>
          <c:order val="1"/>
          <c:tx>
            <c:strRef>
              <c:f>'2024.01'!$B$1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2-4BE6-49F3-B19F-0D4F004E60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4BE6-49F3-B19F-0D4F004E60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4BE6-49F3-B19F-0D4F004E60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4BE6-49F3-B19F-0D4F004E60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4BE6-49F3-B19F-0D4F004E60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4BE6-49F3-B19F-0D4F004E60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4BE6-49F3-B19F-0D4F004E60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4BE6-49F3-B19F-0D4F004E600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4BE6-49F3-B19F-0D4F004E60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4BE6-49F3-B19F-0D4F004E600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4BE6-49F3-B19F-0D4F004E600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4BE6-49F3-B19F-0D4F004E600C}"/>
              </c:ext>
            </c:extLst>
          </c:dPt>
          <c:dPt>
            <c:idx val="12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4BE6-49F3-B19F-0D4F004E600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4BE6-49F3-B19F-0D4F004E600C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4BE6-49F3-B19F-0D4F004E600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4BE6-49F3-B19F-0D4F004E600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1-4BE6-49F3-B19F-0D4F004E600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3-4BE6-49F3-B19F-0D4F004E600C}"/>
              </c:ext>
            </c:extLst>
          </c:dPt>
          <c:dPt>
            <c:idx val="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5-4BE6-49F3-B19F-0D4F004E600C}"/>
              </c:ext>
            </c:extLst>
          </c:dPt>
          <c:dLbls>
            <c:dLbl>
              <c:idx val="7"/>
              <c:layout>
                <c:manualLayout>
                  <c:x val="3.03314148912439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BE6-49F3-B19F-0D4F004E600C}"/>
                </c:ext>
              </c:extLst>
            </c:dLbl>
            <c:dLbl>
              <c:idx val="10"/>
              <c:layout>
                <c:manualLayout>
                  <c:x val="-8.4927961695483126E-2"/>
                  <c:y val="-6.844285581593619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4BE6-49F3-B19F-0D4F004E600C}"/>
                </c:ext>
              </c:extLst>
            </c:dLbl>
            <c:dLbl>
              <c:idx val="11"/>
              <c:layout>
                <c:manualLayout>
                  <c:x val="-1.5165707445622539E-3"/>
                  <c:y val="-4.026050342113867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4BE6-49F3-B19F-0D4F004E600C}"/>
                </c:ext>
              </c:extLst>
            </c:dLbl>
            <c:dLbl>
              <c:idx val="12"/>
              <c:layout>
                <c:manualLayout>
                  <c:x val="-8.6444532440045324E-2"/>
                  <c:y val="-0.1006512585528473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4BE6-49F3-B19F-0D4F004E600C}"/>
                </c:ext>
              </c:extLst>
            </c:dLbl>
            <c:dLbl>
              <c:idx val="13"/>
              <c:layout>
                <c:manualLayout>
                  <c:x val="-3.0331414891243964E-3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4BE6-49F3-B19F-0D4F004E600C}"/>
                </c:ext>
              </c:extLst>
            </c:dLbl>
            <c:dLbl>
              <c:idx val="14"/>
              <c:layout>
                <c:manualLayout>
                  <c:x val="-6.5212542016174532E-2"/>
                  <c:y val="-7.649490366485761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E-4BE6-49F3-B19F-0D4F004E600C}"/>
                </c:ext>
              </c:extLst>
            </c:dLbl>
            <c:dLbl>
              <c:idx val="15"/>
              <c:layout>
                <c:manualLayout>
                  <c:x val="-5.7629688293363533E-2"/>
                  <c:y val="-9.662520821073340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4BE6-49F3-B19F-0D4F004E600C}"/>
                </c:ext>
              </c:extLst>
            </c:dLbl>
            <c:dLbl>
              <c:idx val="16"/>
              <c:layout>
                <c:manualLayout>
                  <c:x val="-7.2795395738985511E-2"/>
                  <c:y val="-0.122123527044121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4BE6-49F3-B19F-0D4F004E600C}"/>
                </c:ext>
              </c:extLst>
            </c:dLbl>
            <c:dLbl>
              <c:idx val="18"/>
              <c:layout>
                <c:manualLayout>
                  <c:x val="-4.5497122336865944E-3"/>
                  <c:y val="-0.1127294095791889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4BE6-49F3-B19F-0D4F004E60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'2024.01'!$A$2:$A$26</c15:sqref>
                  </c15:fullRef>
                </c:ext>
              </c:extLst>
              <c:f>'2024.01'!$A$2:$A$20</c:f>
              <c:strCache>
                <c:ptCount val="19"/>
                <c:pt idx="0">
                  <c:v>맞히기</c:v>
                </c:pt>
                <c:pt idx="1">
                  <c:v>컨트롤</c:v>
                </c:pt>
                <c:pt idx="2">
                  <c:v>디펜스</c:v>
                </c:pt>
                <c:pt idx="3">
                  <c:v>기타</c:v>
                </c:pt>
                <c:pt idx="4">
                  <c:v>컴까기</c:v>
                </c:pt>
                <c:pt idx="5">
                  <c:v>대전</c:v>
                </c:pt>
                <c:pt idx="6">
                  <c:v>캠페인</c:v>
                </c:pt>
                <c:pt idx="7">
                  <c:v>RPG</c:v>
                </c:pt>
                <c:pt idx="8">
                  <c:v>미니게임</c:v>
                </c:pt>
                <c:pt idx="9">
                  <c:v>서바이벌</c:v>
                </c:pt>
                <c:pt idx="10">
                  <c:v>밀리기반</c:v>
                </c:pt>
                <c:pt idx="11">
                  <c:v>공포</c:v>
                </c:pt>
                <c:pt idx="12">
                  <c:v>리듬게임</c:v>
                </c:pt>
                <c:pt idx="13">
                  <c:v>슈팅</c:v>
                </c:pt>
                <c:pt idx="14">
                  <c:v>어드벤처</c:v>
                </c:pt>
                <c:pt idx="15">
                  <c:v>키우기</c:v>
                </c:pt>
                <c:pt idx="16">
                  <c:v>디플로메시</c:v>
                </c:pt>
                <c:pt idx="17">
                  <c:v>퍼즐</c:v>
                </c:pt>
                <c:pt idx="18">
                  <c:v>블러드</c:v>
                </c:pt>
                <c:pt idx="19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'2024.01'!$B$2:$B$25</c15:sqref>
                  </c15:fullRef>
                </c:ext>
              </c:extLst>
              <c:f>'2024.01'!$B$2:$B$20</c:f>
              <c:numCache>
                <c:formatCode>General</c:formatCode>
                <c:ptCount val="19"/>
                <c:pt idx="0">
                  <c:v>47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'2024.01'!$B$22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-5.9146259037925732E-2"/>
                        <c:y val="-0.10870335923707508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B3A8-497F-AACE-570E4B09DB02}"/>
                      </c:ext>
                    </c:extLst>
                  </c15:dLbl>
                </c15:categoryFilterException>
                <c15:categoryFilterException>
                  <c15:sqref>'2024.01'!$B$23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-2.7298273402119568E-2"/>
                        <c:y val="-0.1221235270441214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B3A8-497F-AACE-570E4B09DB02}"/>
                      </c:ext>
                    </c:extLst>
                  </c15:dLbl>
                </c15:categoryFilterException>
                <c15:categoryFilterException>
                  <c15:sqref>'2024.01'!$B$24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-3.0331414891245079E-3"/>
                        <c:y val="-0.1154134431405982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B3A8-497F-AACE-570E4B09DB02}"/>
                      </c:ext>
                    </c:extLst>
                  </c15:dLbl>
                </c15:categoryFilterException>
                <c15:categoryFilterException>
                  <c15:sqref>'2024.01'!$B$25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1-4BE6-49F3-B19F-0D4F004E6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'2024.02'!$B$1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49-48D6-A5EE-58E095AAC5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49-48D6-A5EE-58E095AAC5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49-48D6-A5EE-58E095AAC5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49-48D6-A5EE-58E095AAC5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F49-48D6-A5EE-58E095AAC5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F49-48D6-A5EE-58E095AAC5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F49-48D6-A5EE-58E095AAC5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F49-48D6-A5EE-58E095AAC5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F49-48D6-A5EE-58E095AAC53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F49-48D6-A5EE-58E095AAC536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F49-48D6-A5EE-58E095AAC536}"/>
              </c:ext>
            </c:extLst>
          </c:dPt>
          <c:dPt>
            <c:idx val="11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F49-48D6-A5EE-58E095AAC53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F49-48D6-A5EE-58E095AAC53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F49-48D6-A5EE-58E095AAC53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F49-48D6-A5EE-58E095AAC53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F49-48D6-A5EE-58E095AAC53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AF49-48D6-A5EE-58E095AAC5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'2024.02'!$A$2:$A$26</c15:sqref>
                  </c15:fullRef>
                </c:ext>
              </c:extLst>
              <c:f>'2024.02'!$A$3:$A$19</c:f>
              <c:strCache>
                <c:ptCount val="17"/>
                <c:pt idx="0">
                  <c:v>디펜스</c:v>
                </c:pt>
                <c:pt idx="1">
                  <c:v>대전</c:v>
                </c:pt>
                <c:pt idx="2">
                  <c:v>컨트롤</c:v>
                </c:pt>
                <c:pt idx="3">
                  <c:v>서바이벌</c:v>
                </c:pt>
                <c:pt idx="4">
                  <c:v>기타</c:v>
                </c:pt>
                <c:pt idx="5">
                  <c:v>RPG</c:v>
                </c:pt>
                <c:pt idx="6">
                  <c:v>밀리기반</c:v>
                </c:pt>
                <c:pt idx="7">
                  <c:v>컴까기</c:v>
                </c:pt>
                <c:pt idx="8">
                  <c:v>캠페인</c:v>
                </c:pt>
                <c:pt idx="9">
                  <c:v>미니게임</c:v>
                </c:pt>
                <c:pt idx="10">
                  <c:v>퍼즐</c:v>
                </c:pt>
                <c:pt idx="11">
                  <c:v>블러드</c:v>
                </c:pt>
                <c:pt idx="12">
                  <c:v>공포</c:v>
                </c:pt>
                <c:pt idx="13">
                  <c:v>어드벤처</c:v>
                </c:pt>
                <c:pt idx="14">
                  <c:v>키우기</c:v>
                </c:pt>
                <c:pt idx="15">
                  <c:v>디플로메시</c:v>
                </c:pt>
                <c:pt idx="16">
                  <c:v>오펜스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'2024.02'!$B$2:$B$26</c15:sqref>
                  </c15:fullRef>
                </c:ext>
              </c:extLst>
              <c:f>'2024.02'!$B$3:$B$19</c:f>
              <c:numCache>
                <c:formatCode>General</c:formatCode>
                <c:ptCount val="17"/>
                <c:pt idx="0">
                  <c:v>13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'2024.02'!$B$2</c15:sqref>
                  <c15:bubble3D val="0"/>
                </c15:categoryFilterException>
                <c15:categoryFilterException>
                  <c15:sqref>'2024.02'!$B$20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'2024.02'!$B$22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'2024.02'!$B$23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'2024.02'!$B$24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'2024.02'!$B$25</c15:sqref>
                  <c15:bubble3D val="0"/>
                </c15:categoryFilterException>
                <c15:categoryFilterException>
                  <c15:sqref>'2024.02'!$B$26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4-AF49-48D6-A5EE-58E095AAC536}"/>
            </c:ext>
          </c:extLst>
        </c:ser>
        <c:ser>
          <c:idx val="0"/>
          <c:order val="1"/>
          <c:tx>
            <c:strRef>
              <c:f>'2024.02'!$B$1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AF49-48D6-A5EE-58E095AAC5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AF49-48D6-A5EE-58E095AAC5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AF49-48D6-A5EE-58E095AAC5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AF49-48D6-A5EE-58E095AAC5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AF49-48D6-A5EE-58E095AAC5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AF49-48D6-A5EE-58E095AAC5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AF49-48D6-A5EE-58E095AAC5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AF49-48D6-A5EE-58E095AAC5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AF49-48D6-A5EE-58E095AAC53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AF49-48D6-A5EE-58E095AAC536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AF49-48D6-A5EE-58E095AAC536}"/>
              </c:ext>
            </c:extLst>
          </c:dPt>
          <c:dPt>
            <c:idx val="11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AF49-48D6-A5EE-58E095AAC53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AF49-48D6-A5EE-58E095AAC53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AF49-48D6-A5EE-58E095AAC53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AF49-48D6-A5EE-58E095AAC53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AF49-48D6-A5EE-58E095AAC53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AF49-48D6-A5EE-58E095AAC536}"/>
              </c:ext>
            </c:extLst>
          </c:dPt>
          <c:dLbls>
            <c:dLbl>
              <c:idx val="6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AF49-48D6-A5EE-58E095AAC536}"/>
                </c:ext>
              </c:extLst>
            </c:dLbl>
            <c:dLbl>
              <c:idx val="9"/>
              <c:layout>
                <c:manualLayout>
                  <c:x val="-2.7803475795515347E-17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AF49-48D6-A5EE-58E095AAC536}"/>
                </c:ext>
              </c:extLst>
            </c:dLbl>
            <c:dLbl>
              <c:idx val="10"/>
              <c:layout>
                <c:manualLayout>
                  <c:x val="0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AF49-48D6-A5EE-58E095AAC536}"/>
                </c:ext>
              </c:extLst>
            </c:dLbl>
            <c:dLbl>
              <c:idx val="11"/>
              <c:layout>
                <c:manualLayout>
                  <c:x val="-1.5165707445621982E-3"/>
                  <c:y val="-4.026050342113916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AF49-48D6-A5EE-58E095AAC536}"/>
                </c:ext>
              </c:extLst>
            </c:dLbl>
            <c:dLbl>
              <c:idx val="12"/>
              <c:layout>
                <c:manualLayout>
                  <c:x val="-3.0331414891243964E-3"/>
                  <c:y val="-2.68403356140928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AF49-48D6-A5EE-58E095AAC536}"/>
                </c:ext>
              </c:extLst>
            </c:dLbl>
            <c:dLbl>
              <c:idx val="13"/>
              <c:layout>
                <c:manualLayout>
                  <c:x val="-8.9477554514150501E-2"/>
                  <c:y val="-7.98499984519255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213650665213309E-2"/>
                      <c:h val="2.6153370961229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0-AF49-48D6-A5EE-58E095AAC536}"/>
                </c:ext>
              </c:extLst>
            </c:dLbl>
            <c:dLbl>
              <c:idx val="14"/>
              <c:layout>
                <c:manualLayout>
                  <c:x val="-7.5828537228109907E-2"/>
                  <c:y val="-0.1006512585528473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AF49-48D6-A5EE-58E095AAC536}"/>
                </c:ext>
              </c:extLst>
            </c:dLbl>
            <c:dLbl>
              <c:idx val="15"/>
              <c:layout>
                <c:manualLayout>
                  <c:x val="-3.7914268614054954E-2"/>
                  <c:y val="-0.1194394934827121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AF49-48D6-A5EE-58E095AAC5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'2024.02'!$A$2:$A$26</c15:sqref>
                  </c15:fullRef>
                </c:ext>
              </c:extLst>
              <c:f>'2024.02'!$A$3:$A$19</c:f>
              <c:strCache>
                <c:ptCount val="17"/>
                <c:pt idx="0">
                  <c:v>디펜스</c:v>
                </c:pt>
                <c:pt idx="1">
                  <c:v>대전</c:v>
                </c:pt>
                <c:pt idx="2">
                  <c:v>컨트롤</c:v>
                </c:pt>
                <c:pt idx="3">
                  <c:v>서바이벌</c:v>
                </c:pt>
                <c:pt idx="4">
                  <c:v>기타</c:v>
                </c:pt>
                <c:pt idx="5">
                  <c:v>RPG</c:v>
                </c:pt>
                <c:pt idx="6">
                  <c:v>밀리기반</c:v>
                </c:pt>
                <c:pt idx="7">
                  <c:v>컴까기</c:v>
                </c:pt>
                <c:pt idx="8">
                  <c:v>캠페인</c:v>
                </c:pt>
                <c:pt idx="9">
                  <c:v>미니게임</c:v>
                </c:pt>
                <c:pt idx="10">
                  <c:v>퍼즐</c:v>
                </c:pt>
                <c:pt idx="11">
                  <c:v>블러드</c:v>
                </c:pt>
                <c:pt idx="12">
                  <c:v>공포</c:v>
                </c:pt>
                <c:pt idx="13">
                  <c:v>어드벤처</c:v>
                </c:pt>
                <c:pt idx="14">
                  <c:v>키우기</c:v>
                </c:pt>
                <c:pt idx="15">
                  <c:v>디플로메시</c:v>
                </c:pt>
                <c:pt idx="16">
                  <c:v>오펜스</c:v>
                </c:pt>
                <c:pt idx="17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'2024.02'!$B$2:$B$25</c15:sqref>
                  </c15:fullRef>
                </c:ext>
              </c:extLst>
              <c:f>'2024.02'!$B$3:$B$19</c:f>
              <c:numCache>
                <c:formatCode>General</c:formatCode>
                <c:ptCount val="17"/>
                <c:pt idx="0">
                  <c:v>13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'2024.02'!$B$2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</c15:categoryFilterException>
                <c15:categoryFilterException>
                  <c15:sqref>'2024.02'!$B$20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3.0331414891245079E-3"/>
                        <c:y val="-9.394117464932415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3B2C-464C-8BA7-1E9B335D9D36}"/>
                      </c:ext>
                    </c:extLst>
                  </c15:dLbl>
                </c15:categoryFilterException>
                <c15:categoryFilterException>
                  <c15:sqref>'2024.02'!$B$22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5.9146259037925732E-2"/>
                        <c:y val="-0.10870335923707508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3B2C-464C-8BA7-1E9B335D9D36}"/>
                      </c:ext>
                    </c:extLst>
                  </c15:dLbl>
                </c15:categoryFilterException>
                <c15:categoryFilterException>
                  <c15:sqref>'2024.02'!$B$23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2.7298273402119568E-2"/>
                        <c:y val="-0.1221235270441214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3B2C-464C-8BA7-1E9B335D9D36}"/>
                      </c:ext>
                    </c:extLst>
                  </c15:dLbl>
                </c15:categoryFilterException>
                <c15:categoryFilterException>
                  <c15:sqref>'2024.02'!$B$24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3.0331414891245079E-3"/>
                        <c:y val="-0.1154134431405982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3B2C-464C-8BA7-1E9B335D9D36}"/>
                      </c:ext>
                    </c:extLst>
                  </c15:dLbl>
                </c15:categoryFilterException>
                <c15:categoryFilterException>
                  <c15:sqref>'2024.02'!$B$25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9-AF49-48D6-A5EE-58E095AAC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'2024.02'!$B$1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17-4C52-9949-BAF02C0113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617-4C52-9949-BAF02C0113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617-4C52-9949-BAF02C0113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617-4C52-9949-BAF02C0113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617-4C52-9949-BAF02C0113A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617-4C52-9949-BAF02C0113A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617-4C52-9949-BAF02C0113A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617-4C52-9949-BAF02C0113A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617-4C52-9949-BAF02C0113A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617-4C52-9949-BAF02C0113A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617-4C52-9949-BAF02C0113A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617-4C52-9949-BAF02C0113AD}"/>
              </c:ext>
            </c:extLst>
          </c:dPt>
          <c:dPt>
            <c:idx val="1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617-4C52-9949-BAF02C0113A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617-4C52-9949-BAF02C0113AD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617-4C52-9949-BAF02C0113A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617-4C52-9949-BAF02C0113A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A617-4C52-9949-BAF02C0113A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A617-4C52-9949-BAF02C0113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'2024.02'!$A$2:$A$26</c15:sqref>
                  </c15:fullRef>
                </c:ext>
              </c:extLst>
              <c:f>'2024.02'!$A$2:$A$19</c:f>
              <c:strCache>
                <c:ptCount val="18"/>
                <c:pt idx="0">
                  <c:v>맞히기</c:v>
                </c:pt>
                <c:pt idx="1">
                  <c:v>디펜스</c:v>
                </c:pt>
                <c:pt idx="2">
                  <c:v>대전</c:v>
                </c:pt>
                <c:pt idx="3">
                  <c:v>컨트롤</c:v>
                </c:pt>
                <c:pt idx="4">
                  <c:v>서바이벌</c:v>
                </c:pt>
                <c:pt idx="5">
                  <c:v>기타</c:v>
                </c:pt>
                <c:pt idx="6">
                  <c:v>RPG</c:v>
                </c:pt>
                <c:pt idx="7">
                  <c:v>밀리기반</c:v>
                </c:pt>
                <c:pt idx="8">
                  <c:v>컴까기</c:v>
                </c:pt>
                <c:pt idx="9">
                  <c:v>캠페인</c:v>
                </c:pt>
                <c:pt idx="10">
                  <c:v>미니게임</c:v>
                </c:pt>
                <c:pt idx="11">
                  <c:v>퍼즐</c:v>
                </c:pt>
                <c:pt idx="12">
                  <c:v>블러드</c:v>
                </c:pt>
                <c:pt idx="13">
                  <c:v>공포</c:v>
                </c:pt>
                <c:pt idx="14">
                  <c:v>어드벤처</c:v>
                </c:pt>
                <c:pt idx="15">
                  <c:v>키우기</c:v>
                </c:pt>
                <c:pt idx="16">
                  <c:v>디플로메시</c:v>
                </c:pt>
                <c:pt idx="17">
                  <c:v>오펜스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'2024.02'!$B$2:$B$26</c15:sqref>
                  </c15:fullRef>
                </c:ext>
              </c:extLst>
              <c:f>'2024.02'!$B$2:$B$19</c:f>
              <c:numCache>
                <c:formatCode>General</c:formatCode>
                <c:ptCount val="18"/>
                <c:pt idx="0">
                  <c:v>29</c:v>
                </c:pt>
                <c:pt idx="1">
                  <c:v>13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'2024.02'!$B$20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'2024.02'!$B$22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'2024.02'!$B$23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'2024.02'!$B$24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'2024.02'!$B$25</c15:sqref>
                  <c15:bubble3D val="0"/>
                </c15:categoryFilterException>
                <c15:categoryFilterException>
                  <c15:sqref>'2024.02'!$B$26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6-A617-4C52-9949-BAF02C0113AD}"/>
            </c:ext>
          </c:extLst>
        </c:ser>
        <c:ser>
          <c:idx val="0"/>
          <c:order val="1"/>
          <c:tx>
            <c:strRef>
              <c:f>'2024.02'!$B$1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A617-4C52-9949-BAF02C0113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A617-4C52-9949-BAF02C0113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A617-4C52-9949-BAF02C0113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A617-4C52-9949-BAF02C0113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A617-4C52-9949-BAF02C0113A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A617-4C52-9949-BAF02C0113A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A617-4C52-9949-BAF02C0113A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A617-4C52-9949-BAF02C0113A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A617-4C52-9949-BAF02C0113A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A617-4C52-9949-BAF02C0113A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A617-4C52-9949-BAF02C0113A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A617-4C52-9949-BAF02C0113AD}"/>
              </c:ext>
            </c:extLst>
          </c:dPt>
          <c:dPt>
            <c:idx val="12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A617-4C52-9949-BAF02C0113A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A617-4C52-9949-BAF02C0113AD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A617-4C52-9949-BAF02C0113A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A617-4C52-9949-BAF02C0113A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A617-4C52-9949-BAF02C0113A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A-A617-4C52-9949-BAF02C0113AD}"/>
              </c:ext>
            </c:extLst>
          </c:dPt>
          <c:dLbls>
            <c:dLbl>
              <c:idx val="7"/>
              <c:layout>
                <c:manualLayout>
                  <c:x val="3.03314148912439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A617-4C52-9949-BAF02C0113AD}"/>
                </c:ext>
              </c:extLst>
            </c:dLbl>
            <c:dLbl>
              <c:idx val="10"/>
              <c:layout>
                <c:manualLayout>
                  <c:x val="-4.5497122336865944E-3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A617-4C52-9949-BAF02C0113AD}"/>
                </c:ext>
              </c:extLst>
            </c:dLbl>
            <c:dLbl>
              <c:idx val="11"/>
              <c:layout>
                <c:manualLayout>
                  <c:x val="-1.5165707445622539E-3"/>
                  <c:y val="-4.026050342113867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A617-4C52-9949-BAF02C0113AD}"/>
                </c:ext>
              </c:extLst>
            </c:dLbl>
            <c:dLbl>
              <c:idx val="12"/>
              <c:layout>
                <c:manualLayout>
                  <c:x val="-8.6444532440045324E-2"/>
                  <c:y val="-0.1006512585528473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A617-4C52-9949-BAF02C0113AD}"/>
                </c:ext>
              </c:extLst>
            </c:dLbl>
            <c:dLbl>
              <c:idx val="13"/>
              <c:layout>
                <c:manualLayout>
                  <c:x val="-3.0331414891243964E-3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A617-4C52-9949-BAF02C0113AD}"/>
                </c:ext>
              </c:extLst>
            </c:dLbl>
            <c:dLbl>
              <c:idx val="14"/>
              <c:layout>
                <c:manualLayout>
                  <c:x val="-6.5212542016174532E-2"/>
                  <c:y val="-7.649490366485761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4-A617-4C52-9949-BAF02C0113AD}"/>
                </c:ext>
              </c:extLst>
            </c:dLbl>
            <c:dLbl>
              <c:idx val="15"/>
              <c:layout>
                <c:manualLayout>
                  <c:x val="-5.7629688293363533E-2"/>
                  <c:y val="-9.662520821073340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A617-4C52-9949-BAF02C0113AD}"/>
                </c:ext>
              </c:extLst>
            </c:dLbl>
            <c:dLbl>
              <c:idx val="16"/>
              <c:layout>
                <c:manualLayout>
                  <c:x val="-7.2795395738985511E-2"/>
                  <c:y val="-0.122123527044121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A617-4C52-9949-BAF02C0113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'2024.02'!$A$2:$A$26</c15:sqref>
                  </c15:fullRef>
                </c:ext>
              </c:extLst>
              <c:f>'2024.02'!$A$2:$A$19</c:f>
              <c:strCache>
                <c:ptCount val="18"/>
                <c:pt idx="0">
                  <c:v>맞히기</c:v>
                </c:pt>
                <c:pt idx="1">
                  <c:v>디펜스</c:v>
                </c:pt>
                <c:pt idx="2">
                  <c:v>대전</c:v>
                </c:pt>
                <c:pt idx="3">
                  <c:v>컨트롤</c:v>
                </c:pt>
                <c:pt idx="4">
                  <c:v>서바이벌</c:v>
                </c:pt>
                <c:pt idx="5">
                  <c:v>기타</c:v>
                </c:pt>
                <c:pt idx="6">
                  <c:v>RPG</c:v>
                </c:pt>
                <c:pt idx="7">
                  <c:v>밀리기반</c:v>
                </c:pt>
                <c:pt idx="8">
                  <c:v>컴까기</c:v>
                </c:pt>
                <c:pt idx="9">
                  <c:v>캠페인</c:v>
                </c:pt>
                <c:pt idx="10">
                  <c:v>미니게임</c:v>
                </c:pt>
                <c:pt idx="11">
                  <c:v>퍼즐</c:v>
                </c:pt>
                <c:pt idx="12">
                  <c:v>블러드</c:v>
                </c:pt>
                <c:pt idx="13">
                  <c:v>공포</c:v>
                </c:pt>
                <c:pt idx="14">
                  <c:v>어드벤처</c:v>
                </c:pt>
                <c:pt idx="15">
                  <c:v>키우기</c:v>
                </c:pt>
                <c:pt idx="16">
                  <c:v>디플로메시</c:v>
                </c:pt>
                <c:pt idx="17">
                  <c:v>오펜스</c:v>
                </c:pt>
                <c:pt idx="18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'2024.02'!$B$2:$B$25</c15:sqref>
                  </c15:fullRef>
                </c:ext>
              </c:extLst>
              <c:f>'2024.02'!$B$2:$B$19</c:f>
              <c:numCache>
                <c:formatCode>General</c:formatCode>
                <c:ptCount val="18"/>
                <c:pt idx="0">
                  <c:v>29</c:v>
                </c:pt>
                <c:pt idx="1">
                  <c:v>13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'2024.02'!$B$20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4.5497122336865944E-3"/>
                        <c:y val="-0.11272940957918898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EDAA-443A-8B89-6B86FE771435}"/>
                      </c:ext>
                    </c:extLst>
                  </c15:dLbl>
                </c15:categoryFilterException>
                <c15:categoryFilterException>
                  <c15:sqref>'2024.02'!$B$22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5.9146259037925732E-2"/>
                        <c:y val="-0.10870335923707508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EDAA-443A-8B89-6B86FE771435}"/>
                      </c:ext>
                    </c:extLst>
                  </c15:dLbl>
                </c15:categoryFilterException>
                <c15:categoryFilterException>
                  <c15:sqref>'2024.02'!$B$23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2.7298273402119568E-2"/>
                        <c:y val="-0.1221235270441214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EDAA-443A-8B89-6B86FE771435}"/>
                      </c:ext>
                    </c:extLst>
                  </c15:dLbl>
                </c15:categoryFilterException>
                <c15:categoryFilterException>
                  <c15:sqref>'2024.02'!$B$24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3.0331414891245079E-3"/>
                        <c:y val="-0.1154134431405982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EDAA-443A-8B89-6B86FE771435}"/>
                      </c:ext>
                    </c:extLst>
                  </c15:dLbl>
                </c15:categoryFilterException>
                <c15:categoryFilterException>
                  <c15:sqref>'2024.02'!$B$25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D-A617-4C52-9949-BAF02C011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'2024.03'!$B$1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7E6D-437C-8BA6-ECF471F2B8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6D-437C-8BA6-ECF471F2B8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6D-437C-8BA6-ECF471F2B8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E6D-437C-8BA6-ECF471F2B8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E6D-437C-8BA6-ECF471F2B8C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E6D-437C-8BA6-ECF471F2B8C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E6D-437C-8BA6-ECF471F2B8C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E6D-437C-8BA6-ECF471F2B8C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E6D-437C-8BA6-ECF471F2B8C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E6D-437C-8BA6-ECF471F2B8C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E6D-437C-8BA6-ECF471F2B8C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E6D-437C-8BA6-ECF471F2B8C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E6D-437C-8BA6-ECF471F2B8C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E6D-437C-8BA6-ECF471F2B8C9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E6D-437C-8BA6-ECF471F2B8C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E6D-437C-8BA6-ECF471F2B8C9}"/>
              </c:ext>
            </c:extLst>
          </c:dPt>
          <c:dPt>
            <c:idx val="16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7E6D-437C-8BA6-ECF471F2B8C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7E6D-437C-8BA6-ECF471F2B8C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7E6D-437C-8BA6-ECF471F2B8C9}"/>
              </c:ext>
            </c:extLst>
          </c:dPt>
          <c:dPt>
            <c:idx val="1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864D-49F1-A9EF-16688F2A24D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A-7E6D-437C-8BA6-ECF471F2B8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'2024.03'!$A$2:$A$26</c15:sqref>
                  </c15:fullRef>
                </c:ext>
              </c:extLst>
              <c:f>'2024.03'!$A$2:$A$22</c:f>
              <c:strCache>
                <c:ptCount val="21"/>
                <c:pt idx="0">
                  <c:v>맞히기</c:v>
                </c:pt>
                <c:pt idx="1">
                  <c:v>대전</c:v>
                </c:pt>
                <c:pt idx="2">
                  <c:v>디펜스</c:v>
                </c:pt>
                <c:pt idx="3">
                  <c:v>캠페인</c:v>
                </c:pt>
                <c:pt idx="4">
                  <c:v>컴까기</c:v>
                </c:pt>
                <c:pt idx="5">
                  <c:v>디플로메시</c:v>
                </c:pt>
                <c:pt idx="6">
                  <c:v>RPG</c:v>
                </c:pt>
                <c:pt idx="7">
                  <c:v>기타</c:v>
                </c:pt>
                <c:pt idx="8">
                  <c:v>컨트롤</c:v>
                </c:pt>
                <c:pt idx="9">
                  <c:v>미니게임</c:v>
                </c:pt>
                <c:pt idx="10">
                  <c:v>서바이벌</c:v>
                </c:pt>
                <c:pt idx="11">
                  <c:v>블러드</c:v>
                </c:pt>
                <c:pt idx="12">
                  <c:v>AOS</c:v>
                </c:pt>
                <c:pt idx="13">
                  <c:v>밀리기반</c:v>
                </c:pt>
                <c:pt idx="14">
                  <c:v>어드벤처</c:v>
                </c:pt>
                <c:pt idx="15">
                  <c:v>키우기</c:v>
                </c:pt>
                <c:pt idx="16">
                  <c:v>탈출</c:v>
                </c:pt>
                <c:pt idx="17">
                  <c:v>퍼즐</c:v>
                </c:pt>
                <c:pt idx="18">
                  <c:v>공포</c:v>
                </c:pt>
                <c:pt idx="19">
                  <c:v>추리</c:v>
                </c:pt>
                <c:pt idx="20">
                  <c:v>병맛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'2024.03'!$B$2:$B$26</c15:sqref>
                  </c15:fullRef>
                </c:ext>
              </c:extLst>
              <c:f>'2024.03'!$B$2:$B$22</c:f>
              <c:numCache>
                <c:formatCode>General</c:formatCode>
                <c:ptCount val="21"/>
                <c:pt idx="0">
                  <c:v>57</c:v>
                </c:pt>
                <c:pt idx="1">
                  <c:v>21</c:v>
                </c:pt>
                <c:pt idx="2">
                  <c:v>15</c:v>
                </c:pt>
                <c:pt idx="3">
                  <c:v>14</c:v>
                </c:pt>
                <c:pt idx="4">
                  <c:v>13</c:v>
                </c:pt>
                <c:pt idx="5">
                  <c:v>9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'2024.03'!$B$24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'2024.03'!$B$26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2-7E6D-437C-8BA6-ECF471F2B8C9}"/>
            </c:ext>
          </c:extLst>
        </c:ser>
        <c:ser>
          <c:idx val="0"/>
          <c:order val="1"/>
          <c:tx>
            <c:strRef>
              <c:f>'2024.03'!$B$1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1-7E6D-437C-8BA6-ECF471F2B8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7E6D-437C-8BA6-ECF471F2B8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7E6D-437C-8BA6-ECF471F2B8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7E6D-437C-8BA6-ECF471F2B8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7E6D-437C-8BA6-ECF471F2B8C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7E6D-437C-8BA6-ECF471F2B8C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7E6D-437C-8BA6-ECF471F2B8C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7E6D-437C-8BA6-ECF471F2B8C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7E6D-437C-8BA6-ECF471F2B8C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7E6D-437C-8BA6-ECF471F2B8C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7E6D-437C-8BA6-ECF471F2B8C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7E6D-437C-8BA6-ECF471F2B8C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7E6D-437C-8BA6-ECF471F2B8C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7E6D-437C-8BA6-ECF471F2B8C9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7E6D-437C-8BA6-ECF471F2B8C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7E6D-437C-8BA6-ECF471F2B8C9}"/>
              </c:ext>
            </c:extLst>
          </c:dPt>
          <c:dPt>
            <c:idx val="16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7E6D-437C-8BA6-ECF471F2B8C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7E6D-437C-8BA6-ECF471F2B8C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3-7E6D-437C-8BA6-ECF471F2B8C9}"/>
              </c:ext>
            </c:extLst>
          </c:dPt>
          <c:dPt>
            <c:idx val="19"/>
            <c:bubble3D val="0"/>
            <c:spPr>
              <a:solidFill>
                <a:schemeClr val="accent4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1-864D-49F1-A9EF-16688F2A24D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5-7E6D-437C-8BA6-ECF471F2B8C9}"/>
              </c:ext>
            </c:extLst>
          </c:dPt>
          <c:dLbls>
            <c:dLbl>
              <c:idx val="7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E6D-437C-8BA6-ECF471F2B8C9}"/>
                </c:ext>
              </c:extLst>
            </c:dLbl>
            <c:dLbl>
              <c:idx val="10"/>
              <c:layout>
                <c:manualLayout>
                  <c:x val="-2.7803475795515347E-17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E6D-437C-8BA6-ECF471F2B8C9}"/>
                </c:ext>
              </c:extLst>
            </c:dLbl>
            <c:dLbl>
              <c:idx val="11"/>
              <c:layout>
                <c:manualLayout>
                  <c:x val="0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E6D-437C-8BA6-ECF471F2B8C9}"/>
                </c:ext>
              </c:extLst>
            </c:dLbl>
            <c:dLbl>
              <c:idx val="12"/>
              <c:layout>
                <c:manualLayout>
                  <c:x val="-6.6729112760736758E-2"/>
                  <c:y val="-6.844285581593619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E6D-437C-8BA6-ECF471F2B8C9}"/>
                </c:ext>
              </c:extLst>
            </c:dLbl>
            <c:dLbl>
              <c:idx val="13"/>
              <c:layout>
                <c:manualLayout>
                  <c:x val="-3.0331414891243964E-3"/>
                  <c:y val="-2.68403356140928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E6D-437C-8BA6-ECF471F2B8C9}"/>
                </c:ext>
              </c:extLst>
            </c:dLbl>
            <c:dLbl>
              <c:idx val="14"/>
              <c:layout>
                <c:manualLayout>
                  <c:x val="-8.9477554514150501E-2"/>
                  <c:y val="-7.98499984519255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213650665213309E-2"/>
                      <c:h val="2.6153370961229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E-7E6D-437C-8BA6-ECF471F2B8C9}"/>
                </c:ext>
              </c:extLst>
            </c:dLbl>
            <c:dLbl>
              <c:idx val="15"/>
              <c:layout>
                <c:manualLayout>
                  <c:x val="-7.5828537228109907E-2"/>
                  <c:y val="-0.1006512585528473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7E6D-437C-8BA6-ECF471F2B8C9}"/>
                </c:ext>
              </c:extLst>
            </c:dLbl>
            <c:dLbl>
              <c:idx val="16"/>
              <c:layout>
                <c:manualLayout>
                  <c:x val="-7.5604050406741646E-2"/>
                  <c:y val="-0.1207665910185802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7E6D-437C-8BA6-ECF471F2B8C9}"/>
                </c:ext>
              </c:extLst>
            </c:dLbl>
            <c:dLbl>
              <c:idx val="17"/>
              <c:layout>
                <c:manualLayout>
                  <c:x val="-3.9248403765517054E-2"/>
                  <c:y val="-9.769682721433588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E6D-437C-8BA6-ECF471F2B8C9}"/>
                </c:ext>
              </c:extLst>
            </c:dLbl>
            <c:dLbl>
              <c:idx val="18"/>
              <c:layout>
                <c:manualLayout>
                  <c:x val="-3.7738849774535684E-2"/>
                  <c:y val="-0.126191735151850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7E6D-437C-8BA6-ECF471F2B8C9}"/>
                </c:ext>
              </c:extLst>
            </c:dLbl>
            <c:dLbl>
              <c:idx val="19"/>
              <c:layout>
                <c:manualLayout>
                  <c:x val="-3.0331414891245079E-3"/>
                  <c:y val="-0.1154134431405982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864D-49F1-A9EF-16688F2A24D0}"/>
                </c:ext>
              </c:extLst>
            </c:dLbl>
            <c:dLbl>
              <c:idx val="20"/>
              <c:layout>
                <c:manualLayout>
                  <c:x val="4.5286619729442753E-3"/>
                  <c:y val="-8.412782343456701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7E6D-437C-8BA6-ECF471F2B8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'2024.03'!$A$2:$A$26</c15:sqref>
                  </c15:fullRef>
                </c:ext>
              </c:extLst>
              <c:f>'2024.03'!$A$2:$A$22</c:f>
              <c:strCache>
                <c:ptCount val="21"/>
                <c:pt idx="0">
                  <c:v>맞히기</c:v>
                </c:pt>
                <c:pt idx="1">
                  <c:v>대전</c:v>
                </c:pt>
                <c:pt idx="2">
                  <c:v>디펜스</c:v>
                </c:pt>
                <c:pt idx="3">
                  <c:v>캠페인</c:v>
                </c:pt>
                <c:pt idx="4">
                  <c:v>컴까기</c:v>
                </c:pt>
                <c:pt idx="5">
                  <c:v>디플로메시</c:v>
                </c:pt>
                <c:pt idx="6">
                  <c:v>RPG</c:v>
                </c:pt>
                <c:pt idx="7">
                  <c:v>기타</c:v>
                </c:pt>
                <c:pt idx="8">
                  <c:v>컨트롤</c:v>
                </c:pt>
                <c:pt idx="9">
                  <c:v>미니게임</c:v>
                </c:pt>
                <c:pt idx="10">
                  <c:v>서바이벌</c:v>
                </c:pt>
                <c:pt idx="11">
                  <c:v>블러드</c:v>
                </c:pt>
                <c:pt idx="12">
                  <c:v>AOS</c:v>
                </c:pt>
                <c:pt idx="13">
                  <c:v>밀리기반</c:v>
                </c:pt>
                <c:pt idx="14">
                  <c:v>어드벤처</c:v>
                </c:pt>
                <c:pt idx="15">
                  <c:v>키우기</c:v>
                </c:pt>
                <c:pt idx="16">
                  <c:v>탈출</c:v>
                </c:pt>
                <c:pt idx="17">
                  <c:v>퍼즐</c:v>
                </c:pt>
                <c:pt idx="18">
                  <c:v>공포</c:v>
                </c:pt>
                <c:pt idx="19">
                  <c:v>추리</c:v>
                </c:pt>
                <c:pt idx="20">
                  <c:v>병맛</c:v>
                </c:pt>
                <c:pt idx="21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'2024.03'!$B$2:$B$25</c15:sqref>
                  </c15:fullRef>
                </c:ext>
              </c:extLst>
              <c:f>'2024.03'!$B$2:$B$22</c:f>
              <c:numCache>
                <c:formatCode>General</c:formatCode>
                <c:ptCount val="21"/>
                <c:pt idx="0">
                  <c:v>57</c:v>
                </c:pt>
                <c:pt idx="1">
                  <c:v>21</c:v>
                </c:pt>
                <c:pt idx="2">
                  <c:v>15</c:v>
                </c:pt>
                <c:pt idx="3">
                  <c:v>14</c:v>
                </c:pt>
                <c:pt idx="4">
                  <c:v>13</c:v>
                </c:pt>
                <c:pt idx="5">
                  <c:v>9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'2024.03'!$B$24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20"/>
                    <c:layout>
                      <c:manualLayout>
                        <c:x val="-3.0331414891245079E-3"/>
                        <c:y val="-9.394117464932415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8-332E-45CC-82B7-B0B6EA33ECC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5-7E6D-437C-8BA6-ECF471F2B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'2024.03'!$B$1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6A0-462B-9909-BCE63041C7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6A0-462B-9909-BCE63041C7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6A0-462B-9909-BCE63041C7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6A0-462B-9909-BCE63041C7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6A0-462B-9909-BCE63041C7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6A0-462B-9909-BCE63041C7C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6A0-462B-9909-BCE63041C7C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6A0-462B-9909-BCE63041C7C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6A0-462B-9909-BCE63041C7C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6A0-462B-9909-BCE63041C7C8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6A0-462B-9909-BCE63041C7C8}"/>
              </c:ext>
            </c:extLst>
          </c:dPt>
          <c:dPt>
            <c:idx val="11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6A0-462B-9909-BCE63041C7C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6A0-462B-9909-BCE63041C7C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6A0-462B-9909-BCE63041C7C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6A0-462B-9909-BCE63041C7C8}"/>
              </c:ext>
            </c:extLst>
          </c:dPt>
          <c:dPt>
            <c:idx val="1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86A0-462B-9909-BCE63041C7C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86A0-462B-9909-BCE63041C7C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86A0-462B-9909-BCE63041C7C8}"/>
              </c:ext>
            </c:extLst>
          </c:dPt>
          <c:dPt>
            <c:idx val="18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03BE-40AE-9974-14D22EF27A3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86A0-462B-9909-BCE63041C7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'2024.03'!$A$2:$A$26</c15:sqref>
                  </c15:fullRef>
                </c:ext>
              </c:extLst>
              <c:f>'2024.03'!$A$3:$A$22</c:f>
              <c:strCache>
                <c:ptCount val="20"/>
                <c:pt idx="0">
                  <c:v>대전</c:v>
                </c:pt>
                <c:pt idx="1">
                  <c:v>디펜스</c:v>
                </c:pt>
                <c:pt idx="2">
                  <c:v>캠페인</c:v>
                </c:pt>
                <c:pt idx="3">
                  <c:v>컴까기</c:v>
                </c:pt>
                <c:pt idx="4">
                  <c:v>디플로메시</c:v>
                </c:pt>
                <c:pt idx="5">
                  <c:v>RPG</c:v>
                </c:pt>
                <c:pt idx="6">
                  <c:v>기타</c:v>
                </c:pt>
                <c:pt idx="7">
                  <c:v>컨트롤</c:v>
                </c:pt>
                <c:pt idx="8">
                  <c:v>미니게임</c:v>
                </c:pt>
                <c:pt idx="9">
                  <c:v>서바이벌</c:v>
                </c:pt>
                <c:pt idx="10">
                  <c:v>블러드</c:v>
                </c:pt>
                <c:pt idx="11">
                  <c:v>AOS</c:v>
                </c:pt>
                <c:pt idx="12">
                  <c:v>밀리기반</c:v>
                </c:pt>
                <c:pt idx="13">
                  <c:v>어드벤처</c:v>
                </c:pt>
                <c:pt idx="14">
                  <c:v>키우기</c:v>
                </c:pt>
                <c:pt idx="15">
                  <c:v>탈출</c:v>
                </c:pt>
                <c:pt idx="16">
                  <c:v>퍼즐</c:v>
                </c:pt>
                <c:pt idx="17">
                  <c:v>공포</c:v>
                </c:pt>
                <c:pt idx="18">
                  <c:v>추리</c:v>
                </c:pt>
                <c:pt idx="19">
                  <c:v>병맛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'2024.03'!$B$2:$B$26</c15:sqref>
                  </c15:fullRef>
                </c:ext>
              </c:extLst>
              <c:f>'2024.03'!$B$3:$B$22</c:f>
              <c:numCache>
                <c:formatCode>General</c:formatCode>
                <c:ptCount val="20"/>
                <c:pt idx="0">
                  <c:v>21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9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'2024.03'!$B$2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'2024.03'!$B$24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'2024.03'!$B$26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4-86A0-462B-9909-BCE63041C7C8}"/>
            </c:ext>
          </c:extLst>
        </c:ser>
        <c:ser>
          <c:idx val="0"/>
          <c:order val="1"/>
          <c:tx>
            <c:strRef>
              <c:f>'2024.03'!$B$1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86A0-462B-9909-BCE63041C7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86A0-462B-9909-BCE63041C7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86A0-462B-9909-BCE63041C7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86A0-462B-9909-BCE63041C7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86A0-462B-9909-BCE63041C7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86A0-462B-9909-BCE63041C7C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86A0-462B-9909-BCE63041C7C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86A0-462B-9909-BCE63041C7C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86A0-462B-9909-BCE63041C7C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86A0-462B-9909-BCE63041C7C8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86A0-462B-9909-BCE63041C7C8}"/>
              </c:ext>
            </c:extLst>
          </c:dPt>
          <c:dPt>
            <c:idx val="11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86A0-462B-9909-BCE63041C7C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86A0-462B-9909-BCE63041C7C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86A0-462B-9909-BCE63041C7C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86A0-462B-9909-BCE63041C7C8}"/>
              </c:ext>
            </c:extLst>
          </c:dPt>
          <c:dPt>
            <c:idx val="15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86A0-462B-9909-BCE63041C7C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86A0-462B-9909-BCE63041C7C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5-86A0-462B-9909-BCE63041C7C8}"/>
              </c:ext>
            </c:extLst>
          </c:dPt>
          <c:dPt>
            <c:idx val="18"/>
            <c:bubble3D val="0"/>
            <c:spPr>
              <a:solidFill>
                <a:schemeClr val="accent4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D-03BE-40AE-9974-14D22EF27A3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7-86A0-462B-9909-BCE63041C7C8}"/>
              </c:ext>
            </c:extLst>
          </c:dPt>
          <c:dLbls>
            <c:dLbl>
              <c:idx val="6"/>
              <c:layout>
                <c:manualLayout>
                  <c:x val="3.03314148912439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86A0-462B-9909-BCE63041C7C8}"/>
                </c:ext>
              </c:extLst>
            </c:dLbl>
            <c:dLbl>
              <c:idx val="9"/>
              <c:layout>
                <c:manualLayout>
                  <c:x val="-4.5497122336865944E-3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86A0-462B-9909-BCE63041C7C8}"/>
                </c:ext>
              </c:extLst>
            </c:dLbl>
            <c:dLbl>
              <c:idx val="10"/>
              <c:layout>
                <c:manualLayout>
                  <c:x val="-1.5165707445622539E-3"/>
                  <c:y val="-4.026050342113867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86A0-462B-9909-BCE63041C7C8}"/>
                </c:ext>
              </c:extLst>
            </c:dLbl>
            <c:dLbl>
              <c:idx val="11"/>
              <c:layout>
                <c:manualLayout>
                  <c:x val="-1.7010968866986588E-3"/>
                  <c:y val="-2.36392204735981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86A0-462B-9909-BCE63041C7C8}"/>
                </c:ext>
              </c:extLst>
            </c:dLbl>
            <c:dLbl>
              <c:idx val="12"/>
              <c:layout>
                <c:manualLayout>
                  <c:x val="-0.102806434909922"/>
                  <c:y val="-5.449043744634588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86A0-462B-9909-BCE63041C7C8}"/>
                </c:ext>
              </c:extLst>
            </c:dLbl>
            <c:dLbl>
              <c:idx val="13"/>
              <c:layout>
                <c:manualLayout>
                  <c:x val="-6.5212542016174532E-2"/>
                  <c:y val="-7.649490366485761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2-86A0-462B-9909-BCE63041C7C8}"/>
                </c:ext>
              </c:extLst>
            </c:dLbl>
            <c:dLbl>
              <c:idx val="14"/>
              <c:layout>
                <c:manualLayout>
                  <c:x val="-5.7629688293363533E-2"/>
                  <c:y val="-9.662520821073340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86A0-462B-9909-BCE63041C7C8}"/>
                </c:ext>
              </c:extLst>
            </c:dLbl>
            <c:dLbl>
              <c:idx val="15"/>
              <c:layout>
                <c:manualLayout>
                  <c:x val="-1.5990858285572002E-3"/>
                  <c:y val="-2.150835209159492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86A0-462B-9909-BCE63041C7C8}"/>
                </c:ext>
              </c:extLst>
            </c:dLbl>
            <c:dLbl>
              <c:idx val="16"/>
              <c:layout>
                <c:manualLayout>
                  <c:x val="-4.9886621315192746E-2"/>
                  <c:y val="-8.997954044307679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86A0-462B-9909-BCE63041C7C8}"/>
                </c:ext>
              </c:extLst>
            </c:dLbl>
            <c:dLbl>
              <c:idx val="17"/>
              <c:layout>
                <c:manualLayout>
                  <c:x val="-4.2328042328042326E-2"/>
                  <c:y val="-0.107702783257622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86A0-462B-9909-BCE63041C7C8}"/>
                </c:ext>
              </c:extLst>
            </c:dLbl>
            <c:dLbl>
              <c:idx val="18"/>
              <c:layout>
                <c:manualLayout>
                  <c:x val="-1.2103487064116986E-2"/>
                  <c:y val="-9.905349724881812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03BE-40AE-9974-14D22EF27A3B}"/>
                </c:ext>
              </c:extLst>
            </c:dLbl>
            <c:dLbl>
              <c:idx val="19"/>
              <c:layout>
                <c:manualLayout>
                  <c:x val="5.5428938919270718E-17"/>
                  <c:y val="-9.543284592447538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86A0-462B-9909-BCE63041C7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'2024.03'!$A$2:$A$26</c15:sqref>
                  </c15:fullRef>
                </c:ext>
              </c:extLst>
              <c:f>'2024.03'!$A$3:$A$22</c:f>
              <c:strCache>
                <c:ptCount val="20"/>
                <c:pt idx="0">
                  <c:v>대전</c:v>
                </c:pt>
                <c:pt idx="1">
                  <c:v>디펜스</c:v>
                </c:pt>
                <c:pt idx="2">
                  <c:v>캠페인</c:v>
                </c:pt>
                <c:pt idx="3">
                  <c:v>컴까기</c:v>
                </c:pt>
                <c:pt idx="4">
                  <c:v>디플로메시</c:v>
                </c:pt>
                <c:pt idx="5">
                  <c:v>RPG</c:v>
                </c:pt>
                <c:pt idx="6">
                  <c:v>기타</c:v>
                </c:pt>
                <c:pt idx="7">
                  <c:v>컨트롤</c:v>
                </c:pt>
                <c:pt idx="8">
                  <c:v>미니게임</c:v>
                </c:pt>
                <c:pt idx="9">
                  <c:v>서바이벌</c:v>
                </c:pt>
                <c:pt idx="10">
                  <c:v>블러드</c:v>
                </c:pt>
                <c:pt idx="11">
                  <c:v>AOS</c:v>
                </c:pt>
                <c:pt idx="12">
                  <c:v>밀리기반</c:v>
                </c:pt>
                <c:pt idx="13">
                  <c:v>어드벤처</c:v>
                </c:pt>
                <c:pt idx="14">
                  <c:v>키우기</c:v>
                </c:pt>
                <c:pt idx="15">
                  <c:v>탈출</c:v>
                </c:pt>
                <c:pt idx="16">
                  <c:v>퍼즐</c:v>
                </c:pt>
                <c:pt idx="17">
                  <c:v>공포</c:v>
                </c:pt>
                <c:pt idx="18">
                  <c:v>추리</c:v>
                </c:pt>
                <c:pt idx="19">
                  <c:v>병맛</c:v>
                </c:pt>
                <c:pt idx="20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'2024.03'!$B$2:$B$25</c15:sqref>
                  </c15:fullRef>
                </c:ext>
              </c:extLst>
              <c:f>'2024.03'!$B$3:$B$22</c:f>
              <c:numCache>
                <c:formatCode>General</c:formatCode>
                <c:ptCount val="20"/>
                <c:pt idx="0">
                  <c:v>21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9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'2024.03'!$B$2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'2024.03'!$B$24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9"/>
                    <c:layout>
                      <c:manualLayout>
                        <c:x val="-4.5497122336865944E-3"/>
                        <c:y val="-0.11272940957918898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8-B654-4A5C-9B00-A110A30350B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9-86A0-462B-9909-BCE63041C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'2024.04'!$B$1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54-4736-AD70-BD8F423887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54-4736-AD70-BD8F423887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454-4736-AD70-BD8F423887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454-4736-AD70-BD8F423887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454-4736-AD70-BD8F423887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454-4736-AD70-BD8F4238876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454-4736-AD70-BD8F4238876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454-4736-AD70-BD8F4238876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454-4736-AD70-BD8F4238876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454-4736-AD70-BD8F4238876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454-4736-AD70-BD8F4238876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454-4736-AD70-BD8F4238876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454-4736-AD70-BD8F4238876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454-4736-AD70-BD8F4238876F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454-4736-AD70-BD8F4238876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454-4736-AD70-BD8F4238876F}"/>
              </c:ext>
            </c:extLst>
          </c:dPt>
          <c:dPt>
            <c:idx val="16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1454-4736-AD70-BD8F4238876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1454-4736-AD70-BD8F4238876F}"/>
              </c:ext>
            </c:extLst>
          </c:dPt>
          <c:dPt>
            <c:idx val="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1454-4736-AD70-BD8F4238876F}"/>
              </c:ext>
            </c:extLst>
          </c:dPt>
          <c:dPt>
            <c:idx val="1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1454-4736-AD70-BD8F423887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'2024.04'!$A$2:$A$26</c15:sqref>
                  </c15:fullRef>
                </c:ext>
              </c:extLst>
              <c:f>'2024.04'!$A$2:$A$21</c:f>
              <c:strCache>
                <c:ptCount val="20"/>
                <c:pt idx="0">
                  <c:v>맞히기</c:v>
                </c:pt>
                <c:pt idx="1">
                  <c:v>디펜스</c:v>
                </c:pt>
                <c:pt idx="2">
                  <c:v>RPG</c:v>
                </c:pt>
                <c:pt idx="3">
                  <c:v>컴까기</c:v>
                </c:pt>
                <c:pt idx="4">
                  <c:v>대전</c:v>
                </c:pt>
                <c:pt idx="5">
                  <c:v>기타</c:v>
                </c:pt>
                <c:pt idx="6">
                  <c:v>미니게임</c:v>
                </c:pt>
                <c:pt idx="7">
                  <c:v>캠페인</c:v>
                </c:pt>
                <c:pt idx="8">
                  <c:v>블러드</c:v>
                </c:pt>
                <c:pt idx="9">
                  <c:v>컨트롤</c:v>
                </c:pt>
                <c:pt idx="10">
                  <c:v>디플로메시</c:v>
                </c:pt>
                <c:pt idx="11">
                  <c:v>키우기</c:v>
                </c:pt>
                <c:pt idx="12">
                  <c:v>공포</c:v>
                </c:pt>
                <c:pt idx="13">
                  <c:v>서바이벌</c:v>
                </c:pt>
                <c:pt idx="14">
                  <c:v>퍼즐</c:v>
                </c:pt>
                <c:pt idx="15">
                  <c:v>밀리기반</c:v>
                </c:pt>
                <c:pt idx="16">
                  <c:v>추리</c:v>
                </c:pt>
                <c:pt idx="17">
                  <c:v>오펜스</c:v>
                </c:pt>
                <c:pt idx="18">
                  <c:v>리듬게임</c:v>
                </c:pt>
                <c:pt idx="19">
                  <c:v>슈팅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'2024.04'!$B$2:$B$26</c15:sqref>
                  </c15:fullRef>
                </c:ext>
              </c:extLst>
              <c:f>'2024.04'!$B$2:$B$21</c:f>
              <c:numCache>
                <c:formatCode>General</c:formatCode>
                <c:ptCount val="20"/>
                <c:pt idx="0">
                  <c:v>41</c:v>
                </c:pt>
                <c:pt idx="1">
                  <c:v>20</c:v>
                </c:pt>
                <c:pt idx="2">
                  <c:v>12</c:v>
                </c:pt>
                <c:pt idx="3">
                  <c:v>11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'2024.04'!$B$22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'2024.04'!$B$26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A-1454-4736-AD70-BD8F4238876F}"/>
            </c:ext>
          </c:extLst>
        </c:ser>
        <c:ser>
          <c:idx val="0"/>
          <c:order val="1"/>
          <c:tx>
            <c:strRef>
              <c:f>'2024.04'!$B$1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1454-4736-AD70-BD8F423887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1454-4736-AD70-BD8F423887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1454-4736-AD70-BD8F423887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1454-4736-AD70-BD8F423887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1454-4736-AD70-BD8F423887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1454-4736-AD70-BD8F4238876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1454-4736-AD70-BD8F4238876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1454-4736-AD70-BD8F4238876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1454-4736-AD70-BD8F4238876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1454-4736-AD70-BD8F4238876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1454-4736-AD70-BD8F4238876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1454-4736-AD70-BD8F4238876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1454-4736-AD70-BD8F4238876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1454-4736-AD70-BD8F4238876F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1454-4736-AD70-BD8F4238876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A-1454-4736-AD70-BD8F4238876F}"/>
              </c:ext>
            </c:extLst>
          </c:dPt>
          <c:dPt>
            <c:idx val="16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C-1454-4736-AD70-BD8F4238876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E-1454-4736-AD70-BD8F4238876F}"/>
              </c:ext>
            </c:extLst>
          </c:dPt>
          <c:dPt>
            <c:idx val="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0-1454-4736-AD70-BD8F4238876F}"/>
              </c:ext>
            </c:extLst>
          </c:dPt>
          <c:dPt>
            <c:idx val="19"/>
            <c:bubble3D val="0"/>
            <c:spPr>
              <a:solidFill>
                <a:schemeClr val="accent4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2-1454-4736-AD70-BD8F4238876F}"/>
              </c:ext>
            </c:extLst>
          </c:dPt>
          <c:dLbls>
            <c:dLbl>
              <c:idx val="7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1454-4736-AD70-BD8F4238876F}"/>
                </c:ext>
              </c:extLst>
            </c:dLbl>
            <c:dLbl>
              <c:idx val="10"/>
              <c:layout>
                <c:manualLayout>
                  <c:x val="-0.13000755857898716"/>
                  <c:y val="-5.721709018704515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1454-4736-AD70-BD8F4238876F}"/>
                </c:ext>
              </c:extLst>
            </c:dLbl>
            <c:dLbl>
              <c:idx val="11"/>
              <c:layout>
                <c:manualLayout>
                  <c:x val="0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1454-4736-AD70-BD8F4238876F}"/>
                </c:ext>
              </c:extLst>
            </c:dLbl>
            <c:dLbl>
              <c:idx val="12"/>
              <c:layout>
                <c:manualLayout>
                  <c:x val="-3.2370953630796151E-3"/>
                  <c:y val="-3.003182561960768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1454-4736-AD70-BD8F4238876F}"/>
                </c:ext>
              </c:extLst>
            </c:dLbl>
            <c:dLbl>
              <c:idx val="13"/>
              <c:layout>
                <c:manualLayout>
                  <c:x val="-7.5595550556180474E-2"/>
                  <c:y val="-6.67603747794926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1454-4736-AD70-BD8F4238876F}"/>
                </c:ext>
              </c:extLst>
            </c:dLbl>
            <c:dLbl>
              <c:idx val="14"/>
              <c:layout>
                <c:manualLayout>
                  <c:x val="-8.9477554514150501E-2"/>
                  <c:y val="-7.98499984519255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213650665213309E-2"/>
                      <c:h val="2.6153370961229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8-1454-4736-AD70-BD8F4238876F}"/>
                </c:ext>
              </c:extLst>
            </c:dLbl>
            <c:dLbl>
              <c:idx val="15"/>
              <c:layout>
                <c:manualLayout>
                  <c:x val="-7.5828537228109907E-2"/>
                  <c:y val="-0.1006512585528473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1454-4736-AD70-BD8F4238876F}"/>
                </c:ext>
              </c:extLst>
            </c:dLbl>
            <c:dLbl>
              <c:idx val="16"/>
              <c:layout>
                <c:manualLayout>
                  <c:x val="-7.5604050406741646E-2"/>
                  <c:y val="-0.1207665910185802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1454-4736-AD70-BD8F4238876F}"/>
                </c:ext>
              </c:extLst>
            </c:dLbl>
            <c:dLbl>
              <c:idx val="17"/>
              <c:layout>
                <c:manualLayout>
                  <c:x val="-1.5060974521042068E-2"/>
                  <c:y val="-8.542688915437374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1454-4736-AD70-BD8F4238876F}"/>
                </c:ext>
              </c:extLst>
            </c:dLbl>
            <c:dLbl>
              <c:idx val="18"/>
              <c:layout>
                <c:manualLayout>
                  <c:x val="-1.2103487064117041E-2"/>
                  <c:y val="-0.1198443317451833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1454-4736-AD70-BD8F4238876F}"/>
                </c:ext>
              </c:extLst>
            </c:dLbl>
            <c:dLbl>
              <c:idx val="19"/>
              <c:layout>
                <c:manualLayout>
                  <c:x val="1.5019551127537628E-3"/>
                  <c:y val="-7.451362258252446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1454-4736-AD70-BD8F423887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'2024.04'!$A$2:$A$26</c15:sqref>
                  </c15:fullRef>
                </c:ext>
              </c:extLst>
              <c:f>'2024.04'!$A$2:$A$21</c:f>
              <c:strCache>
                <c:ptCount val="20"/>
                <c:pt idx="0">
                  <c:v>맞히기</c:v>
                </c:pt>
                <c:pt idx="1">
                  <c:v>디펜스</c:v>
                </c:pt>
                <c:pt idx="2">
                  <c:v>RPG</c:v>
                </c:pt>
                <c:pt idx="3">
                  <c:v>컴까기</c:v>
                </c:pt>
                <c:pt idx="4">
                  <c:v>대전</c:v>
                </c:pt>
                <c:pt idx="5">
                  <c:v>기타</c:v>
                </c:pt>
                <c:pt idx="6">
                  <c:v>미니게임</c:v>
                </c:pt>
                <c:pt idx="7">
                  <c:v>캠페인</c:v>
                </c:pt>
                <c:pt idx="8">
                  <c:v>블러드</c:v>
                </c:pt>
                <c:pt idx="9">
                  <c:v>컨트롤</c:v>
                </c:pt>
                <c:pt idx="10">
                  <c:v>디플로메시</c:v>
                </c:pt>
                <c:pt idx="11">
                  <c:v>키우기</c:v>
                </c:pt>
                <c:pt idx="12">
                  <c:v>공포</c:v>
                </c:pt>
                <c:pt idx="13">
                  <c:v>서바이벌</c:v>
                </c:pt>
                <c:pt idx="14">
                  <c:v>퍼즐</c:v>
                </c:pt>
                <c:pt idx="15">
                  <c:v>밀리기반</c:v>
                </c:pt>
                <c:pt idx="16">
                  <c:v>추리</c:v>
                </c:pt>
                <c:pt idx="17">
                  <c:v>오펜스</c:v>
                </c:pt>
                <c:pt idx="18">
                  <c:v>리듬게임</c:v>
                </c:pt>
                <c:pt idx="19">
                  <c:v>슈팅</c:v>
                </c:pt>
                <c:pt idx="20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'2024.04'!$B$2:$B$25</c15:sqref>
                  </c15:fullRef>
                </c:ext>
              </c:extLst>
              <c:f>'2024.04'!$B$2:$B$21</c:f>
              <c:numCache>
                <c:formatCode>General</c:formatCode>
                <c:ptCount val="20"/>
                <c:pt idx="0">
                  <c:v>41</c:v>
                </c:pt>
                <c:pt idx="1">
                  <c:v>20</c:v>
                </c:pt>
                <c:pt idx="2">
                  <c:v>12</c:v>
                </c:pt>
                <c:pt idx="3">
                  <c:v>11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'2024.04'!$B$22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9"/>
                    <c:layout>
                      <c:manualLayout>
                        <c:x val="4.5286619729442753E-3"/>
                        <c:y val="-8.412782343456701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4-C32E-46A0-96E0-B75A4F18080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5-1454-4736-AD70-BD8F42388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'2024.04'!$B$1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C8-42D4-AF0F-8ECFC6EE4E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C8-42D4-AF0F-8ECFC6EE4E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C8-42D4-AF0F-8ECFC6EE4E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4C8-42D4-AF0F-8ECFC6EE4E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4C8-42D4-AF0F-8ECFC6EE4E2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4C8-42D4-AF0F-8ECFC6EE4E2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4C8-42D4-AF0F-8ECFC6EE4E2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4C8-42D4-AF0F-8ECFC6EE4E2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4C8-42D4-AF0F-8ECFC6EE4E2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4C8-42D4-AF0F-8ECFC6EE4E21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4C8-42D4-AF0F-8ECFC6EE4E21}"/>
              </c:ext>
            </c:extLst>
          </c:dPt>
          <c:dPt>
            <c:idx val="11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4C8-42D4-AF0F-8ECFC6EE4E2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4C8-42D4-AF0F-8ECFC6EE4E2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4C8-42D4-AF0F-8ECFC6EE4E2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4C8-42D4-AF0F-8ECFC6EE4E21}"/>
              </c:ext>
            </c:extLst>
          </c:dPt>
          <c:dPt>
            <c:idx val="1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4C8-42D4-AF0F-8ECFC6EE4E2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4C8-42D4-AF0F-8ECFC6EE4E21}"/>
              </c:ext>
            </c:extLst>
          </c:dPt>
          <c:dPt>
            <c:idx val="1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4C8-42D4-AF0F-8ECFC6EE4E21}"/>
              </c:ext>
            </c:extLst>
          </c:dPt>
          <c:dPt>
            <c:idx val="18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4C8-42D4-AF0F-8ECFC6EE4E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'2024.04'!$A$2:$A$26</c15:sqref>
                  </c15:fullRef>
                </c:ext>
              </c:extLst>
              <c:f>'2024.04'!$A$3:$A$21</c:f>
              <c:strCache>
                <c:ptCount val="19"/>
                <c:pt idx="0">
                  <c:v>디펜스</c:v>
                </c:pt>
                <c:pt idx="1">
                  <c:v>RPG</c:v>
                </c:pt>
                <c:pt idx="2">
                  <c:v>컴까기</c:v>
                </c:pt>
                <c:pt idx="3">
                  <c:v>대전</c:v>
                </c:pt>
                <c:pt idx="4">
                  <c:v>기타</c:v>
                </c:pt>
                <c:pt idx="5">
                  <c:v>미니게임</c:v>
                </c:pt>
                <c:pt idx="6">
                  <c:v>캠페인</c:v>
                </c:pt>
                <c:pt idx="7">
                  <c:v>블러드</c:v>
                </c:pt>
                <c:pt idx="8">
                  <c:v>컨트롤</c:v>
                </c:pt>
                <c:pt idx="9">
                  <c:v>디플로메시</c:v>
                </c:pt>
                <c:pt idx="10">
                  <c:v>키우기</c:v>
                </c:pt>
                <c:pt idx="11">
                  <c:v>공포</c:v>
                </c:pt>
                <c:pt idx="12">
                  <c:v>서바이벌</c:v>
                </c:pt>
                <c:pt idx="13">
                  <c:v>퍼즐</c:v>
                </c:pt>
                <c:pt idx="14">
                  <c:v>밀리기반</c:v>
                </c:pt>
                <c:pt idx="15">
                  <c:v>추리</c:v>
                </c:pt>
                <c:pt idx="16">
                  <c:v>오펜스</c:v>
                </c:pt>
                <c:pt idx="17">
                  <c:v>리듬게임</c:v>
                </c:pt>
                <c:pt idx="18">
                  <c:v>슈팅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'2024.04'!$B$2:$B$26</c15:sqref>
                  </c15:fullRef>
                </c:ext>
              </c:extLst>
              <c:f>'2024.04'!$B$3:$B$21</c:f>
              <c:numCache>
                <c:formatCode>General</c:formatCode>
                <c:ptCount val="19"/>
                <c:pt idx="0">
                  <c:v>20</c:v>
                </c:pt>
                <c:pt idx="1">
                  <c:v>12</c:v>
                </c:pt>
                <c:pt idx="2">
                  <c:v>11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'2024.04'!$B$2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'2024.04'!$B$22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'2024.04'!$B$26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8-B4C8-42D4-AF0F-8ECFC6EE4E21}"/>
            </c:ext>
          </c:extLst>
        </c:ser>
        <c:ser>
          <c:idx val="0"/>
          <c:order val="1"/>
          <c:tx>
            <c:strRef>
              <c:f>'2024.04'!$B$1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B4C8-42D4-AF0F-8ECFC6EE4E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B4C8-42D4-AF0F-8ECFC6EE4E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B4C8-42D4-AF0F-8ECFC6EE4E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B4C8-42D4-AF0F-8ECFC6EE4E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B4C8-42D4-AF0F-8ECFC6EE4E2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B4C8-42D4-AF0F-8ECFC6EE4E2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B4C8-42D4-AF0F-8ECFC6EE4E2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B4C8-42D4-AF0F-8ECFC6EE4E2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B4C8-42D4-AF0F-8ECFC6EE4E2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B4C8-42D4-AF0F-8ECFC6EE4E21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B4C8-42D4-AF0F-8ECFC6EE4E21}"/>
              </c:ext>
            </c:extLst>
          </c:dPt>
          <c:dPt>
            <c:idx val="11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B4C8-42D4-AF0F-8ECFC6EE4E2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B4C8-42D4-AF0F-8ECFC6EE4E2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B4C8-42D4-AF0F-8ECFC6EE4E2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B4C8-42D4-AF0F-8ECFC6EE4E21}"/>
              </c:ext>
            </c:extLst>
          </c:dPt>
          <c:dPt>
            <c:idx val="15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B4C8-42D4-AF0F-8ECFC6EE4E2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A-B4C8-42D4-AF0F-8ECFC6EE4E21}"/>
              </c:ext>
            </c:extLst>
          </c:dPt>
          <c:dPt>
            <c:idx val="1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C-B4C8-42D4-AF0F-8ECFC6EE4E21}"/>
              </c:ext>
            </c:extLst>
          </c:dPt>
          <c:dPt>
            <c:idx val="18"/>
            <c:bubble3D val="0"/>
            <c:spPr>
              <a:solidFill>
                <a:schemeClr val="accent4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E-B4C8-42D4-AF0F-8ECFC6EE4E21}"/>
              </c:ext>
            </c:extLst>
          </c:dPt>
          <c:dLbls>
            <c:dLbl>
              <c:idx val="6"/>
              <c:layout>
                <c:manualLayout>
                  <c:x val="3.03314148912439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4C8-42D4-AF0F-8ECFC6EE4E21}"/>
                </c:ext>
              </c:extLst>
            </c:dLbl>
            <c:dLbl>
              <c:idx val="9"/>
              <c:layout>
                <c:manualLayout>
                  <c:x val="-4.5497122336865944E-3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B4C8-42D4-AF0F-8ECFC6EE4E21}"/>
                </c:ext>
              </c:extLst>
            </c:dLbl>
            <c:dLbl>
              <c:idx val="10"/>
              <c:layout>
                <c:manualLayout>
                  <c:x val="-1.5165707445622539E-3"/>
                  <c:y val="-4.026050342113867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B4C8-42D4-AF0F-8ECFC6EE4E21}"/>
                </c:ext>
              </c:extLst>
            </c:dLbl>
            <c:dLbl>
              <c:idx val="11"/>
              <c:layout>
                <c:manualLayout>
                  <c:x val="-1.7010968866986588E-3"/>
                  <c:y val="-2.36392204735981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B4C8-42D4-AF0F-8ECFC6EE4E21}"/>
                </c:ext>
              </c:extLst>
            </c:dLbl>
            <c:dLbl>
              <c:idx val="12"/>
              <c:layout>
                <c:manualLayout>
                  <c:x val="-0.102806434909922"/>
                  <c:y val="-5.449043744634588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B4C8-42D4-AF0F-8ECFC6EE4E21}"/>
                </c:ext>
              </c:extLst>
            </c:dLbl>
            <c:dLbl>
              <c:idx val="13"/>
              <c:layout>
                <c:manualLayout>
                  <c:x val="-8.9399955957886246E-2"/>
                  <c:y val="-7.64949007836550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4-B4C8-42D4-AF0F-8ECFC6EE4E21}"/>
                </c:ext>
              </c:extLst>
            </c:dLbl>
            <c:dLbl>
              <c:idx val="14"/>
              <c:layout>
                <c:manualLayout>
                  <c:x val="-8.6352301200445181E-2"/>
                  <c:y val="-9.662516608159926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B4C8-42D4-AF0F-8ECFC6EE4E21}"/>
                </c:ext>
              </c:extLst>
            </c:dLbl>
            <c:dLbl>
              <c:idx val="15"/>
              <c:layout>
                <c:manualLayout>
                  <c:x val="-1.5990858285572002E-3"/>
                  <c:y val="-2.150835209159492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B4C8-42D4-AF0F-8ECFC6EE4E21}"/>
                </c:ext>
              </c:extLst>
            </c:dLbl>
            <c:dLbl>
              <c:idx val="16"/>
              <c:layout>
                <c:manualLayout>
                  <c:x val="-4.9886621315192746E-2"/>
                  <c:y val="-8.997954044307679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B4C8-42D4-AF0F-8ECFC6EE4E21}"/>
                </c:ext>
              </c:extLst>
            </c:dLbl>
            <c:dLbl>
              <c:idx val="17"/>
              <c:layout>
                <c:manualLayout>
                  <c:x val="-4.5497122336865944E-3"/>
                  <c:y val="-0.1127294095791889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B4C8-42D4-AF0F-8ECFC6EE4E21}"/>
                </c:ext>
              </c:extLst>
            </c:dLbl>
            <c:dLbl>
              <c:idx val="18"/>
              <c:layout>
                <c:manualLayout>
                  <c:x val="-1.2103487064116986E-2"/>
                  <c:y val="-9.905349724881812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B4C8-42D4-AF0F-8ECFC6EE4E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'2024.04'!$A$2:$A$26</c15:sqref>
                  </c15:fullRef>
                </c:ext>
              </c:extLst>
              <c:f>'2024.04'!$A$3:$A$21</c:f>
              <c:strCache>
                <c:ptCount val="19"/>
                <c:pt idx="0">
                  <c:v>디펜스</c:v>
                </c:pt>
                <c:pt idx="1">
                  <c:v>RPG</c:v>
                </c:pt>
                <c:pt idx="2">
                  <c:v>컴까기</c:v>
                </c:pt>
                <c:pt idx="3">
                  <c:v>대전</c:v>
                </c:pt>
                <c:pt idx="4">
                  <c:v>기타</c:v>
                </c:pt>
                <c:pt idx="5">
                  <c:v>미니게임</c:v>
                </c:pt>
                <c:pt idx="6">
                  <c:v>캠페인</c:v>
                </c:pt>
                <c:pt idx="7">
                  <c:v>블러드</c:v>
                </c:pt>
                <c:pt idx="8">
                  <c:v>컨트롤</c:v>
                </c:pt>
                <c:pt idx="9">
                  <c:v>디플로메시</c:v>
                </c:pt>
                <c:pt idx="10">
                  <c:v>키우기</c:v>
                </c:pt>
                <c:pt idx="11">
                  <c:v>공포</c:v>
                </c:pt>
                <c:pt idx="12">
                  <c:v>서바이벌</c:v>
                </c:pt>
                <c:pt idx="13">
                  <c:v>퍼즐</c:v>
                </c:pt>
                <c:pt idx="14">
                  <c:v>밀리기반</c:v>
                </c:pt>
                <c:pt idx="15">
                  <c:v>추리</c:v>
                </c:pt>
                <c:pt idx="16">
                  <c:v>오펜스</c:v>
                </c:pt>
                <c:pt idx="17">
                  <c:v>리듬게임</c:v>
                </c:pt>
                <c:pt idx="18">
                  <c:v>슈팅</c:v>
                </c:pt>
                <c:pt idx="19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'2024.04'!$B$2:$B$25</c15:sqref>
                  </c15:fullRef>
                </c:ext>
              </c:extLst>
              <c:f>'2024.04'!$B$3:$B$21</c:f>
              <c:numCache>
                <c:formatCode>General</c:formatCode>
                <c:ptCount val="19"/>
                <c:pt idx="0">
                  <c:v>20</c:v>
                </c:pt>
                <c:pt idx="1">
                  <c:v>12</c:v>
                </c:pt>
                <c:pt idx="2">
                  <c:v>11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'2024.04'!$B$2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'2024.04'!$B$22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5.5428938919270718E-17"/>
                        <c:y val="-9.5432845924475387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4-334F-4F9F-BA01-8A42CB1B94F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1-B4C8-42D4-AF0F-8ECFC6EE4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'2024.05'!$B$1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BBE-4E2C-9140-B9C29714D3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BBE-4E2C-9140-B9C29714D3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BBE-4E2C-9140-B9C29714D3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BBE-4E2C-9140-B9C29714D3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BBE-4E2C-9140-B9C29714D3A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BBE-4E2C-9140-B9C29714D3A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BBE-4E2C-9140-B9C29714D3A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BBE-4E2C-9140-B9C29714D3A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BBE-4E2C-9140-B9C29714D3A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BBE-4E2C-9140-B9C29714D3A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BBE-4E2C-9140-B9C29714D3A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BBE-4E2C-9140-B9C29714D3A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BBE-4E2C-9140-B9C29714D3A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BBE-4E2C-9140-B9C29714D3A8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BBE-4E2C-9140-B9C29714D3A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BBE-4E2C-9140-B9C29714D3A8}"/>
              </c:ext>
            </c:extLst>
          </c:dPt>
          <c:dPt>
            <c:idx val="16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BBE-4E2C-9140-B9C29714D3A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BBE-4E2C-9140-B9C29714D3A8}"/>
              </c:ext>
            </c:extLst>
          </c:dPt>
          <c:dPt>
            <c:idx val="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BBE-4E2C-9140-B9C29714D3A8}"/>
              </c:ext>
            </c:extLst>
          </c:dPt>
          <c:dPt>
            <c:idx val="1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BBE-4E2C-9140-B9C29714D3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'2024.05'!$A$2:$A$27</c15:sqref>
                  </c15:fullRef>
                </c:ext>
              </c:extLst>
              <c:f>'2024.05'!$A$2:$A$21</c:f>
              <c:strCache>
                <c:ptCount val="20"/>
                <c:pt idx="0">
                  <c:v>맞히기</c:v>
                </c:pt>
                <c:pt idx="1">
                  <c:v>디펜스</c:v>
                </c:pt>
                <c:pt idx="2">
                  <c:v>컴까기</c:v>
                </c:pt>
                <c:pt idx="3">
                  <c:v>대전</c:v>
                </c:pt>
                <c:pt idx="4">
                  <c:v>RPG</c:v>
                </c:pt>
                <c:pt idx="5">
                  <c:v>미니게임</c:v>
                </c:pt>
                <c:pt idx="6">
                  <c:v>캠페인</c:v>
                </c:pt>
                <c:pt idx="7">
                  <c:v>컨트롤</c:v>
                </c:pt>
                <c:pt idx="8">
                  <c:v>공포</c:v>
                </c:pt>
                <c:pt idx="9">
                  <c:v>블러드</c:v>
                </c:pt>
                <c:pt idx="10">
                  <c:v>디플로메시</c:v>
                </c:pt>
                <c:pt idx="11">
                  <c:v>어드벤처</c:v>
                </c:pt>
                <c:pt idx="12">
                  <c:v>기타</c:v>
                </c:pt>
                <c:pt idx="13">
                  <c:v>키우기</c:v>
                </c:pt>
                <c:pt idx="14">
                  <c:v>서바이벌</c:v>
                </c:pt>
                <c:pt idx="15">
                  <c:v>퍼즐</c:v>
                </c:pt>
                <c:pt idx="16">
                  <c:v>호환요청</c:v>
                </c:pt>
                <c:pt idx="17">
                  <c:v>추리</c:v>
                </c:pt>
                <c:pt idx="18">
                  <c:v>리듬게임</c:v>
                </c:pt>
                <c:pt idx="19">
                  <c:v>탈출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'2024.05'!$B$2:$B$27</c15:sqref>
                  </c15:fullRef>
                </c:ext>
              </c:extLst>
              <c:f>'2024.05'!$B$2:$B$21</c:f>
              <c:numCache>
                <c:formatCode>General</c:formatCode>
                <c:ptCount val="20"/>
                <c:pt idx="0">
                  <c:v>49</c:v>
                </c:pt>
                <c:pt idx="1">
                  <c:v>21</c:v>
                </c:pt>
                <c:pt idx="2">
                  <c:v>14</c:v>
                </c:pt>
                <c:pt idx="3">
                  <c:v>13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'2024.05'!$B$25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'2024.05'!$B$27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8-BBBE-4E2C-9140-B9C29714D3A8}"/>
            </c:ext>
          </c:extLst>
        </c:ser>
        <c:ser>
          <c:idx val="0"/>
          <c:order val="1"/>
          <c:tx>
            <c:strRef>
              <c:f>'2024.05'!$B$1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BBBE-4E2C-9140-B9C29714D3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BBBE-4E2C-9140-B9C29714D3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BBBE-4E2C-9140-B9C29714D3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BBBE-4E2C-9140-B9C29714D3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BBBE-4E2C-9140-B9C29714D3A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BBBE-4E2C-9140-B9C29714D3A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BBBE-4E2C-9140-B9C29714D3A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BBBE-4E2C-9140-B9C29714D3A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BBBE-4E2C-9140-B9C29714D3A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BBBE-4E2C-9140-B9C29714D3A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BBBE-4E2C-9140-B9C29714D3A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BBBE-4E2C-9140-B9C29714D3A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BBBE-4E2C-9140-B9C29714D3A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BBBE-4E2C-9140-B9C29714D3A8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BBBE-4E2C-9140-B9C29714D3A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BBBE-4E2C-9140-B9C29714D3A8}"/>
              </c:ext>
            </c:extLst>
          </c:dPt>
          <c:dPt>
            <c:idx val="16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A-BBBE-4E2C-9140-B9C29714D3A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C-BBBE-4E2C-9140-B9C29714D3A8}"/>
              </c:ext>
            </c:extLst>
          </c:dPt>
          <c:dPt>
            <c:idx val="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E-BBBE-4E2C-9140-B9C29714D3A8}"/>
              </c:ext>
            </c:extLst>
          </c:dPt>
          <c:dPt>
            <c:idx val="19"/>
            <c:bubble3D val="0"/>
            <c:spPr>
              <a:solidFill>
                <a:schemeClr val="accent4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0-BBBE-4E2C-9140-B9C29714D3A8}"/>
              </c:ext>
            </c:extLst>
          </c:dPt>
          <c:dLbls>
            <c:dLbl>
              <c:idx val="7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BBE-4E2C-9140-B9C29714D3A8}"/>
                </c:ext>
              </c:extLst>
            </c:dLbl>
            <c:dLbl>
              <c:idx val="10"/>
              <c:layout>
                <c:manualLayout>
                  <c:x val="-0.12396069538926682"/>
                  <c:y val="-4.358382648354867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BBBE-4E2C-9140-B9C29714D3A8}"/>
                </c:ext>
              </c:extLst>
            </c:dLbl>
            <c:dLbl>
              <c:idx val="11"/>
              <c:layout>
                <c:manualLayout>
                  <c:x val="0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BBBE-4E2C-9140-B9C29714D3A8}"/>
                </c:ext>
              </c:extLst>
            </c:dLbl>
            <c:dLbl>
              <c:idx val="12"/>
              <c:layout>
                <c:manualLayout>
                  <c:x val="-3.2370953630796151E-3"/>
                  <c:y val="-3.003182561960768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BBBE-4E2C-9140-B9C29714D3A8}"/>
                </c:ext>
              </c:extLst>
            </c:dLbl>
            <c:dLbl>
              <c:idx val="13"/>
              <c:layout>
                <c:manualLayout>
                  <c:x val="-7.5595550556180474E-2"/>
                  <c:y val="-6.67603747794926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BBBE-4E2C-9140-B9C29714D3A8}"/>
                </c:ext>
              </c:extLst>
            </c:dLbl>
            <c:dLbl>
              <c:idx val="14"/>
              <c:layout>
                <c:manualLayout>
                  <c:x val="-8.9477554514150501E-2"/>
                  <c:y val="-7.98499984519255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213650665213309E-2"/>
                      <c:h val="2.6153370961229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6-BBBE-4E2C-9140-B9C29714D3A8}"/>
                </c:ext>
              </c:extLst>
            </c:dLbl>
            <c:dLbl>
              <c:idx val="15"/>
              <c:layout>
                <c:manualLayout>
                  <c:x val="-7.5828537228109907E-2"/>
                  <c:y val="-0.1006512585528473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BBBE-4E2C-9140-B9C29714D3A8}"/>
                </c:ext>
              </c:extLst>
            </c:dLbl>
            <c:dLbl>
              <c:idx val="16"/>
              <c:layout>
                <c:manualLayout>
                  <c:x val="-7.5604050406741646E-2"/>
                  <c:y val="-0.1207665910185802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BBBE-4E2C-9140-B9C29714D3A8}"/>
                </c:ext>
              </c:extLst>
            </c:dLbl>
            <c:dLbl>
              <c:idx val="17"/>
              <c:layout>
                <c:manualLayout>
                  <c:x val="-1.5060974521042068E-2"/>
                  <c:y val="-8.542688915437374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BBBE-4E2C-9140-B9C29714D3A8}"/>
                </c:ext>
              </c:extLst>
            </c:dLbl>
            <c:dLbl>
              <c:idx val="18"/>
              <c:layout>
                <c:manualLayout>
                  <c:x val="-1.2103487064117041E-2"/>
                  <c:y val="-0.1198443317451833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BBBE-4E2C-9140-B9C29714D3A8}"/>
                </c:ext>
              </c:extLst>
            </c:dLbl>
            <c:dLbl>
              <c:idx val="19"/>
              <c:layout>
                <c:manualLayout>
                  <c:x val="1.5019551127537628E-3"/>
                  <c:y val="-7.451362258252446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BBBE-4E2C-9140-B9C29714D3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'2024.05'!$A$2:$A$27</c15:sqref>
                  </c15:fullRef>
                </c:ext>
              </c:extLst>
              <c:f>'2024.05'!$A$2:$A$21</c:f>
              <c:strCache>
                <c:ptCount val="20"/>
                <c:pt idx="0">
                  <c:v>맞히기</c:v>
                </c:pt>
                <c:pt idx="1">
                  <c:v>디펜스</c:v>
                </c:pt>
                <c:pt idx="2">
                  <c:v>컴까기</c:v>
                </c:pt>
                <c:pt idx="3">
                  <c:v>대전</c:v>
                </c:pt>
                <c:pt idx="4">
                  <c:v>RPG</c:v>
                </c:pt>
                <c:pt idx="5">
                  <c:v>미니게임</c:v>
                </c:pt>
                <c:pt idx="6">
                  <c:v>캠페인</c:v>
                </c:pt>
                <c:pt idx="7">
                  <c:v>컨트롤</c:v>
                </c:pt>
                <c:pt idx="8">
                  <c:v>공포</c:v>
                </c:pt>
                <c:pt idx="9">
                  <c:v>블러드</c:v>
                </c:pt>
                <c:pt idx="10">
                  <c:v>디플로메시</c:v>
                </c:pt>
                <c:pt idx="11">
                  <c:v>어드벤처</c:v>
                </c:pt>
                <c:pt idx="12">
                  <c:v>기타</c:v>
                </c:pt>
                <c:pt idx="13">
                  <c:v>키우기</c:v>
                </c:pt>
                <c:pt idx="14">
                  <c:v>서바이벌</c:v>
                </c:pt>
                <c:pt idx="15">
                  <c:v>퍼즐</c:v>
                </c:pt>
                <c:pt idx="16">
                  <c:v>호환요청</c:v>
                </c:pt>
                <c:pt idx="17">
                  <c:v>추리</c:v>
                </c:pt>
                <c:pt idx="18">
                  <c:v>리듬게임</c:v>
                </c:pt>
                <c:pt idx="19">
                  <c:v>탈출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'2024.05'!$B$2:$B$27</c15:sqref>
                  </c15:fullRef>
                </c:ext>
              </c:extLst>
              <c:f>'2024.05'!$B$2:$B$21</c:f>
              <c:numCache>
                <c:formatCode>General</c:formatCode>
                <c:ptCount val="20"/>
                <c:pt idx="0">
                  <c:v>49</c:v>
                </c:pt>
                <c:pt idx="1">
                  <c:v>21</c:v>
                </c:pt>
                <c:pt idx="2">
                  <c:v>14</c:v>
                </c:pt>
                <c:pt idx="3">
                  <c:v>13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'2024.05'!$B$25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9"/>
                    <c:layout>
                      <c:manualLayout>
                        <c:x val="4.5286619729442753E-3"/>
                        <c:y val="-8.412782343456701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4-A4F0-43A6-964D-B52ABE8B4A2B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1-BBBE-4E2C-9140-B9C29714D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'2024.05'!$B$1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0CB-40E0-BE0D-6E29F43F02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0CB-40E0-BE0D-6E29F43F02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CB-40E0-BE0D-6E29F43F02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0CB-40E0-BE0D-6E29F43F02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0CB-40E0-BE0D-6E29F43F02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0CB-40E0-BE0D-6E29F43F02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0CB-40E0-BE0D-6E29F43F02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0CB-40E0-BE0D-6E29F43F02D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0CB-40E0-BE0D-6E29F43F02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0CB-40E0-BE0D-6E29F43F02DC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0CB-40E0-BE0D-6E29F43F02DC}"/>
              </c:ext>
            </c:extLst>
          </c:dPt>
          <c:dPt>
            <c:idx val="11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0CB-40E0-BE0D-6E29F43F02D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0CB-40E0-BE0D-6E29F43F02D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0CB-40E0-BE0D-6E29F43F02D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0CB-40E0-BE0D-6E29F43F02DC}"/>
              </c:ext>
            </c:extLst>
          </c:dPt>
          <c:dPt>
            <c:idx val="1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0CB-40E0-BE0D-6E29F43F02D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A0CB-40E0-BE0D-6E29F43F02DC}"/>
              </c:ext>
            </c:extLst>
          </c:dPt>
          <c:dPt>
            <c:idx val="1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A0CB-40E0-BE0D-6E29F43F02DC}"/>
              </c:ext>
            </c:extLst>
          </c:dPt>
          <c:dPt>
            <c:idx val="18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A0CB-40E0-BE0D-6E29F43F02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'2024.05'!$A$2:$A$27</c15:sqref>
                  </c15:fullRef>
                </c:ext>
              </c:extLst>
              <c:f>'2024.05'!$A$3:$A$21</c:f>
              <c:strCache>
                <c:ptCount val="19"/>
                <c:pt idx="0">
                  <c:v>디펜스</c:v>
                </c:pt>
                <c:pt idx="1">
                  <c:v>컴까기</c:v>
                </c:pt>
                <c:pt idx="2">
                  <c:v>대전</c:v>
                </c:pt>
                <c:pt idx="3">
                  <c:v>RPG</c:v>
                </c:pt>
                <c:pt idx="4">
                  <c:v>미니게임</c:v>
                </c:pt>
                <c:pt idx="5">
                  <c:v>캠페인</c:v>
                </c:pt>
                <c:pt idx="6">
                  <c:v>컨트롤</c:v>
                </c:pt>
                <c:pt idx="7">
                  <c:v>공포</c:v>
                </c:pt>
                <c:pt idx="8">
                  <c:v>블러드</c:v>
                </c:pt>
                <c:pt idx="9">
                  <c:v>디플로메시</c:v>
                </c:pt>
                <c:pt idx="10">
                  <c:v>어드벤처</c:v>
                </c:pt>
                <c:pt idx="11">
                  <c:v>기타</c:v>
                </c:pt>
                <c:pt idx="12">
                  <c:v>키우기</c:v>
                </c:pt>
                <c:pt idx="13">
                  <c:v>서바이벌</c:v>
                </c:pt>
                <c:pt idx="14">
                  <c:v>퍼즐</c:v>
                </c:pt>
                <c:pt idx="15">
                  <c:v>호환요청</c:v>
                </c:pt>
                <c:pt idx="16">
                  <c:v>추리</c:v>
                </c:pt>
                <c:pt idx="17">
                  <c:v>리듬게임</c:v>
                </c:pt>
                <c:pt idx="18">
                  <c:v>탈출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'2024.05'!$B$2:$B$27</c15:sqref>
                  </c15:fullRef>
                </c:ext>
              </c:extLst>
              <c:f>'2024.05'!$B$3:$B$21</c:f>
              <c:numCache>
                <c:formatCode>General</c:formatCode>
                <c:ptCount val="19"/>
                <c:pt idx="0">
                  <c:v>21</c:v>
                </c:pt>
                <c:pt idx="1">
                  <c:v>14</c:v>
                </c:pt>
                <c:pt idx="2">
                  <c:v>13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'2024.05'!$B$2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'2024.05'!$B$25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'2024.05'!$B$27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6-A0CB-40E0-BE0D-6E29F43F02DC}"/>
            </c:ext>
          </c:extLst>
        </c:ser>
        <c:ser>
          <c:idx val="0"/>
          <c:order val="1"/>
          <c:tx>
            <c:strRef>
              <c:f>'2024.05'!$B$1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A0CB-40E0-BE0D-6E29F43F02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A0CB-40E0-BE0D-6E29F43F02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A0CB-40E0-BE0D-6E29F43F02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A0CB-40E0-BE0D-6E29F43F02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A0CB-40E0-BE0D-6E29F43F02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A0CB-40E0-BE0D-6E29F43F02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A0CB-40E0-BE0D-6E29F43F02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A0CB-40E0-BE0D-6E29F43F02D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A0CB-40E0-BE0D-6E29F43F02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A0CB-40E0-BE0D-6E29F43F02DC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A0CB-40E0-BE0D-6E29F43F02DC}"/>
              </c:ext>
            </c:extLst>
          </c:dPt>
          <c:dPt>
            <c:idx val="11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A0CB-40E0-BE0D-6E29F43F02D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A0CB-40E0-BE0D-6E29F43F02D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A0CB-40E0-BE0D-6E29F43F02D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A0CB-40E0-BE0D-6E29F43F02DC}"/>
              </c:ext>
            </c:extLst>
          </c:dPt>
          <c:dPt>
            <c:idx val="15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A0CB-40E0-BE0D-6E29F43F02D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A0CB-40E0-BE0D-6E29F43F02DC}"/>
              </c:ext>
            </c:extLst>
          </c:dPt>
          <c:dPt>
            <c:idx val="1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A-A0CB-40E0-BE0D-6E29F43F02DC}"/>
              </c:ext>
            </c:extLst>
          </c:dPt>
          <c:dPt>
            <c:idx val="18"/>
            <c:bubble3D val="0"/>
            <c:spPr>
              <a:solidFill>
                <a:schemeClr val="accent4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C-A0CB-40E0-BE0D-6E29F43F02DC}"/>
              </c:ext>
            </c:extLst>
          </c:dPt>
          <c:dLbls>
            <c:dLbl>
              <c:idx val="6"/>
              <c:layout>
                <c:manualLayout>
                  <c:x val="3.03314148912439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A0CB-40E0-BE0D-6E29F43F02DC}"/>
                </c:ext>
              </c:extLst>
            </c:dLbl>
            <c:dLbl>
              <c:idx val="9"/>
              <c:layout>
                <c:manualLayout>
                  <c:x val="-4.5497122336865944E-3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A0CB-40E0-BE0D-6E29F43F02DC}"/>
                </c:ext>
              </c:extLst>
            </c:dLbl>
            <c:dLbl>
              <c:idx val="10"/>
              <c:layout>
                <c:manualLayout>
                  <c:x val="-1.5165707445622539E-3"/>
                  <c:y val="-4.026050342113867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A0CB-40E0-BE0D-6E29F43F02DC}"/>
                </c:ext>
              </c:extLst>
            </c:dLbl>
            <c:dLbl>
              <c:idx val="11"/>
              <c:layout>
                <c:manualLayout>
                  <c:x val="-1.7010968866986588E-3"/>
                  <c:y val="-2.36392204735981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A0CB-40E0-BE0D-6E29F43F02DC}"/>
                </c:ext>
              </c:extLst>
            </c:dLbl>
            <c:dLbl>
              <c:idx val="12"/>
              <c:layout>
                <c:manualLayout>
                  <c:x val="-0.102806434909922"/>
                  <c:y val="-5.449043744634588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A0CB-40E0-BE0D-6E29F43F02DC}"/>
                </c:ext>
              </c:extLst>
            </c:dLbl>
            <c:dLbl>
              <c:idx val="13"/>
              <c:layout>
                <c:manualLayout>
                  <c:x val="-8.9399955957886246E-2"/>
                  <c:y val="-7.64949007836550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2-A0CB-40E0-BE0D-6E29F43F02DC}"/>
                </c:ext>
              </c:extLst>
            </c:dLbl>
            <c:dLbl>
              <c:idx val="14"/>
              <c:layout>
                <c:manualLayout>
                  <c:x val="-8.6352301200445181E-2"/>
                  <c:y val="-9.662516608159926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A0CB-40E0-BE0D-6E29F43F02DC}"/>
                </c:ext>
              </c:extLst>
            </c:dLbl>
            <c:dLbl>
              <c:idx val="15"/>
              <c:layout>
                <c:manualLayout>
                  <c:x val="-7.1138012510340964E-2"/>
                  <c:y val="-0.1084902920964320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A0CB-40E0-BE0D-6E29F43F02DC}"/>
                </c:ext>
              </c:extLst>
            </c:dLbl>
            <c:dLbl>
              <c:idx val="16"/>
              <c:layout>
                <c:manualLayout>
                  <c:x val="-2.2675736961451302E-2"/>
                  <c:y val="-8.861621407272714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A0CB-40E0-BE0D-6E29F43F02DC}"/>
                </c:ext>
              </c:extLst>
            </c:dLbl>
            <c:dLbl>
              <c:idx val="17"/>
              <c:layout>
                <c:manualLayout>
                  <c:x val="-4.5497122336865944E-3"/>
                  <c:y val="-0.1127294095791889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A0CB-40E0-BE0D-6E29F43F02DC}"/>
                </c:ext>
              </c:extLst>
            </c:dLbl>
            <c:dLbl>
              <c:idx val="18"/>
              <c:layout>
                <c:manualLayout>
                  <c:x val="-9.7606846762647921E-6"/>
                  <c:y val="-9.223686539706987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A0CB-40E0-BE0D-6E29F43F02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'2024.05'!$A$2:$A$27</c15:sqref>
                  </c15:fullRef>
                </c:ext>
              </c:extLst>
              <c:f>'2024.05'!$A$3:$A$21</c:f>
              <c:strCache>
                <c:ptCount val="19"/>
                <c:pt idx="0">
                  <c:v>디펜스</c:v>
                </c:pt>
                <c:pt idx="1">
                  <c:v>컴까기</c:v>
                </c:pt>
                <c:pt idx="2">
                  <c:v>대전</c:v>
                </c:pt>
                <c:pt idx="3">
                  <c:v>RPG</c:v>
                </c:pt>
                <c:pt idx="4">
                  <c:v>미니게임</c:v>
                </c:pt>
                <c:pt idx="5">
                  <c:v>캠페인</c:v>
                </c:pt>
                <c:pt idx="6">
                  <c:v>컨트롤</c:v>
                </c:pt>
                <c:pt idx="7">
                  <c:v>공포</c:v>
                </c:pt>
                <c:pt idx="8">
                  <c:v>블러드</c:v>
                </c:pt>
                <c:pt idx="9">
                  <c:v>디플로메시</c:v>
                </c:pt>
                <c:pt idx="10">
                  <c:v>어드벤처</c:v>
                </c:pt>
                <c:pt idx="11">
                  <c:v>기타</c:v>
                </c:pt>
                <c:pt idx="12">
                  <c:v>키우기</c:v>
                </c:pt>
                <c:pt idx="13">
                  <c:v>서바이벌</c:v>
                </c:pt>
                <c:pt idx="14">
                  <c:v>퍼즐</c:v>
                </c:pt>
                <c:pt idx="15">
                  <c:v>호환요청</c:v>
                </c:pt>
                <c:pt idx="16">
                  <c:v>추리</c:v>
                </c:pt>
                <c:pt idx="17">
                  <c:v>리듬게임</c:v>
                </c:pt>
                <c:pt idx="18">
                  <c:v>탈출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'2024.05'!$B$2:$B$27</c15:sqref>
                  </c15:fullRef>
                </c:ext>
              </c:extLst>
              <c:f>'2024.05'!$B$3:$B$21</c:f>
              <c:numCache>
                <c:formatCode>General</c:formatCode>
                <c:ptCount val="19"/>
                <c:pt idx="0">
                  <c:v>21</c:v>
                </c:pt>
                <c:pt idx="1">
                  <c:v>14</c:v>
                </c:pt>
                <c:pt idx="2">
                  <c:v>13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'2024.05'!$B$2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'2024.05'!$B$25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5.5428938919270718E-17"/>
                        <c:y val="-9.5432845924475387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4-4410-4205-AA53-7466E6E76689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D-A0CB-40E0-BE0D-6E29F43F0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'2024.06'!$B$1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47-4DFD-BCE9-2E79221ECC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47-4DFD-BCE9-2E79221ECC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047-4DFD-BCE9-2E79221ECC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047-4DFD-BCE9-2E79221ECC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047-4DFD-BCE9-2E79221ECC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047-4DFD-BCE9-2E79221ECC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047-4DFD-BCE9-2E79221ECC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047-4DFD-BCE9-2E79221ECC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047-4DFD-BCE9-2E79221ECC97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047-4DFD-BCE9-2E79221ECC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047-4DFD-BCE9-2E79221ECC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047-4DFD-BCE9-2E79221ECC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047-4DFD-BCE9-2E79221ECC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047-4DFD-BCE9-2E79221ECC97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047-4DFD-BCE9-2E79221ECC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047-4DFD-BCE9-2E79221ECC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3047-4DFD-BCE9-2E79221ECC97}"/>
              </c:ext>
            </c:extLst>
          </c:dPt>
          <c:dPt>
            <c:idx val="1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3047-4DFD-BCE9-2E79221ECC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3047-4DFD-BCE9-2E79221ECC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'2024.06'!$A$2:$A$27</c15:sqref>
                  </c15:fullRef>
                </c:ext>
              </c:extLst>
              <c:f>'2024.06'!$A$2:$A$20</c:f>
              <c:strCache>
                <c:ptCount val="19"/>
                <c:pt idx="0">
                  <c:v>맞히기</c:v>
                </c:pt>
                <c:pt idx="1">
                  <c:v>컴까기</c:v>
                </c:pt>
                <c:pt idx="2">
                  <c:v>컨트롤</c:v>
                </c:pt>
                <c:pt idx="3">
                  <c:v>대전</c:v>
                </c:pt>
                <c:pt idx="4">
                  <c:v>RPG</c:v>
                </c:pt>
                <c:pt idx="5">
                  <c:v>디펜스</c:v>
                </c:pt>
                <c:pt idx="6">
                  <c:v>미니게임</c:v>
                </c:pt>
                <c:pt idx="7">
                  <c:v>블러드</c:v>
                </c:pt>
                <c:pt idx="8">
                  <c:v>디플로메시</c:v>
                </c:pt>
                <c:pt idx="9">
                  <c:v>기타</c:v>
                </c:pt>
                <c:pt idx="10">
                  <c:v>캠페인</c:v>
                </c:pt>
                <c:pt idx="11">
                  <c:v>어드벤처</c:v>
                </c:pt>
                <c:pt idx="12">
                  <c:v>키우기</c:v>
                </c:pt>
                <c:pt idx="13">
                  <c:v>오펜스</c:v>
                </c:pt>
                <c:pt idx="14">
                  <c:v>호환요청</c:v>
                </c:pt>
                <c:pt idx="15">
                  <c:v>밀리기반</c:v>
                </c:pt>
                <c:pt idx="16">
                  <c:v>공포</c:v>
                </c:pt>
                <c:pt idx="17">
                  <c:v>서바이벌</c:v>
                </c:pt>
                <c:pt idx="18">
                  <c:v>퍼즐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'2024.06'!$B$2:$B$27</c15:sqref>
                  </c15:fullRef>
                </c:ext>
              </c:extLst>
              <c:f>'2024.06'!$B$2:$B$20</c:f>
              <c:numCache>
                <c:formatCode>General</c:formatCode>
                <c:ptCount val="19"/>
                <c:pt idx="0">
                  <c:v>41</c:v>
                </c:pt>
                <c:pt idx="1">
                  <c:v>25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'2024.06'!$B$21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'2024.06'!$B$22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'2024.06'!$B$23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'2024.06'!$B$25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'2024.06'!$B$27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8-3047-4DFD-BCE9-2E79221ECC97}"/>
            </c:ext>
          </c:extLst>
        </c:ser>
        <c:ser>
          <c:idx val="0"/>
          <c:order val="1"/>
          <c:tx>
            <c:strRef>
              <c:f>'2024.06'!$B$1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3047-4DFD-BCE9-2E79221ECC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3047-4DFD-BCE9-2E79221ECC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3047-4DFD-BCE9-2E79221ECC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3047-4DFD-BCE9-2E79221ECC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3047-4DFD-BCE9-2E79221ECC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3047-4DFD-BCE9-2E79221ECC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3047-4DFD-BCE9-2E79221ECC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3047-4DFD-BCE9-2E79221ECC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3047-4DFD-BCE9-2E79221ECC97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3047-4DFD-BCE9-2E79221ECC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3047-4DFD-BCE9-2E79221ECC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3047-4DFD-BCE9-2E79221ECC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3047-4DFD-BCE9-2E79221ECC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3047-4DFD-BCE9-2E79221ECC97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3047-4DFD-BCE9-2E79221ECC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3047-4DFD-BCE9-2E79221ECC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A-3047-4DFD-BCE9-2E79221ECC97}"/>
              </c:ext>
            </c:extLst>
          </c:dPt>
          <c:dPt>
            <c:idx val="17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C-3047-4DFD-BCE9-2E79221ECC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E-3047-4DFD-BCE9-2E79221ECC97}"/>
              </c:ext>
            </c:extLst>
          </c:dPt>
          <c:dLbls>
            <c:dLbl>
              <c:idx val="2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3047-4DFD-BCE9-2E79221ECC97}"/>
                </c:ext>
              </c:extLst>
            </c:dLbl>
            <c:dLbl>
              <c:idx val="8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3047-4DFD-BCE9-2E79221ECC97}"/>
                </c:ext>
              </c:extLst>
            </c:dLbl>
            <c:dLbl>
              <c:idx val="9"/>
              <c:layout>
                <c:manualLayout>
                  <c:x val="-3.2370953630796151E-3"/>
                  <c:y val="-3.003182561960768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3047-4DFD-BCE9-2E79221ECC97}"/>
                </c:ext>
              </c:extLst>
            </c:dLbl>
            <c:dLbl>
              <c:idx val="11"/>
              <c:layout>
                <c:manualLayout>
                  <c:x val="0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3047-4DFD-BCE9-2E79221ECC97}"/>
                </c:ext>
              </c:extLst>
            </c:dLbl>
            <c:dLbl>
              <c:idx val="12"/>
              <c:layout>
                <c:manualLayout>
                  <c:x val="-0.102806434909922"/>
                  <c:y val="-7.766698574228987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3047-4DFD-BCE9-2E79221ECC97}"/>
                </c:ext>
              </c:extLst>
            </c:dLbl>
            <c:dLbl>
              <c:idx val="14"/>
              <c:layout>
                <c:manualLayout>
                  <c:x val="-8.9209444057588044E-2"/>
                  <c:y val="-8.395675099359119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3047-4DFD-BCE9-2E79221ECC97}"/>
                </c:ext>
              </c:extLst>
            </c:dLbl>
            <c:dLbl>
              <c:idx val="15"/>
              <c:layout>
                <c:manualLayout>
                  <c:x val="-7.2562358276643993E-2"/>
                  <c:y val="-9.815949866517469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3047-4DFD-BCE9-2E79221ECC97}"/>
                </c:ext>
              </c:extLst>
            </c:dLbl>
            <c:dLbl>
              <c:idx val="17"/>
              <c:layout>
                <c:manualLayout>
                  <c:x val="-5.168467036858488E-2"/>
                  <c:y val="-0.1098432056590711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213650665213309E-2"/>
                      <c:h val="2.6153370961229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C-3047-4DFD-BCE9-2E79221ECC97}"/>
                </c:ext>
              </c:extLst>
            </c:dLbl>
            <c:dLbl>
              <c:idx val="18"/>
              <c:layout>
                <c:manualLayout>
                  <c:x val="-3.2661393516286654E-3"/>
                  <c:y val="-0.1047412519265036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3047-4DFD-BCE9-2E79221ECC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'2024.06'!$A$2:$A$27</c15:sqref>
                  </c15:fullRef>
                </c:ext>
              </c:extLst>
              <c:f>'2024.06'!$A$2:$A$20</c:f>
              <c:strCache>
                <c:ptCount val="19"/>
                <c:pt idx="0">
                  <c:v>맞히기</c:v>
                </c:pt>
                <c:pt idx="1">
                  <c:v>컴까기</c:v>
                </c:pt>
                <c:pt idx="2">
                  <c:v>컨트롤</c:v>
                </c:pt>
                <c:pt idx="3">
                  <c:v>대전</c:v>
                </c:pt>
                <c:pt idx="4">
                  <c:v>RPG</c:v>
                </c:pt>
                <c:pt idx="5">
                  <c:v>디펜스</c:v>
                </c:pt>
                <c:pt idx="6">
                  <c:v>미니게임</c:v>
                </c:pt>
                <c:pt idx="7">
                  <c:v>블러드</c:v>
                </c:pt>
                <c:pt idx="8">
                  <c:v>디플로메시</c:v>
                </c:pt>
                <c:pt idx="9">
                  <c:v>기타</c:v>
                </c:pt>
                <c:pt idx="10">
                  <c:v>캠페인</c:v>
                </c:pt>
                <c:pt idx="11">
                  <c:v>어드벤처</c:v>
                </c:pt>
                <c:pt idx="12">
                  <c:v>키우기</c:v>
                </c:pt>
                <c:pt idx="13">
                  <c:v>오펜스</c:v>
                </c:pt>
                <c:pt idx="14">
                  <c:v>호환요청</c:v>
                </c:pt>
                <c:pt idx="15">
                  <c:v>밀리기반</c:v>
                </c:pt>
                <c:pt idx="16">
                  <c:v>공포</c:v>
                </c:pt>
                <c:pt idx="17">
                  <c:v>서바이벌</c:v>
                </c:pt>
                <c:pt idx="18">
                  <c:v>퍼즐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'2024.06'!$B$2:$B$27</c15:sqref>
                  </c15:fullRef>
                </c:ext>
              </c:extLst>
              <c:f>'2024.06'!$B$2:$B$20</c:f>
              <c:numCache>
                <c:formatCode>General</c:formatCode>
                <c:ptCount val="19"/>
                <c:pt idx="0">
                  <c:v>41</c:v>
                </c:pt>
                <c:pt idx="1">
                  <c:v>25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'2024.06'!$B$21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-1.5060974521042068E-2"/>
                        <c:y val="-8.542688915437374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6-98C0-4612-9F21-B739F9E07AAE}"/>
                      </c:ext>
                    </c:extLst>
                  </c15:dLbl>
                </c15:categoryFilterException>
                <c15:categoryFilterException>
                  <c15:sqref>'2024.06'!$B$22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-1.2103487064117041E-2"/>
                        <c:y val="-0.1198443317451833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8-98C0-4612-9F21-B739F9E07AAE}"/>
                      </c:ext>
                    </c:extLst>
                  </c15:dLbl>
                </c15:categoryFilterException>
                <c15:categoryFilterException>
                  <c15:sqref>'2024.06'!$B$23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1.5019551127537628E-3"/>
                        <c:y val="-7.4513622582524461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A-98C0-4612-9F21-B739F9E07AAE}"/>
                      </c:ext>
                    </c:extLst>
                  </c15:dLbl>
                </c15:categoryFilterException>
                <c15:categoryFilterException>
                  <c15:sqref>'2024.06'!$B$25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4.5286619729442753E-3"/>
                        <c:y val="-8.412782343456701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C-98C0-4612-9F21-B739F9E07AAE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1-3047-4DFD-BCE9-2E79221EC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'2024.06'!$B$1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45-48D5-882B-BBBC21CBE6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45-48D5-882B-BBBC21CBE6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45-48D5-882B-BBBC21CBE6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245-48D5-882B-BBBC21CBE6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245-48D5-882B-BBBC21CBE6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245-48D5-882B-BBBC21CBE6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245-48D5-882B-BBBC21CBE62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245-48D5-882B-BBBC21CBE62D}"/>
              </c:ext>
            </c:extLst>
          </c:dPt>
          <c:dPt>
            <c:idx val="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245-48D5-882B-BBBC21CBE62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245-48D5-882B-BBBC21CBE62D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245-48D5-882B-BBBC21CBE62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245-48D5-882B-BBBC21CBE62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245-48D5-882B-BBBC21CBE62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245-48D5-882B-BBBC21CBE62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245-48D5-882B-BBBC21CBE62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245-48D5-882B-BBBC21CBE62D}"/>
              </c:ext>
            </c:extLst>
          </c:dPt>
          <c:dPt>
            <c:idx val="16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4245-48D5-882B-BBBC21CBE62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4245-48D5-882B-BBBC21CBE6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'2024.06'!$A$2:$A$27</c15:sqref>
                  </c15:fullRef>
                </c:ext>
              </c:extLst>
              <c:f>'2024.06'!$A$3:$A$20</c:f>
              <c:strCache>
                <c:ptCount val="18"/>
                <c:pt idx="0">
                  <c:v>컴까기</c:v>
                </c:pt>
                <c:pt idx="1">
                  <c:v>컨트롤</c:v>
                </c:pt>
                <c:pt idx="2">
                  <c:v>대전</c:v>
                </c:pt>
                <c:pt idx="3">
                  <c:v>RPG</c:v>
                </c:pt>
                <c:pt idx="4">
                  <c:v>디펜스</c:v>
                </c:pt>
                <c:pt idx="5">
                  <c:v>미니게임</c:v>
                </c:pt>
                <c:pt idx="6">
                  <c:v>블러드</c:v>
                </c:pt>
                <c:pt idx="7">
                  <c:v>디플로메시</c:v>
                </c:pt>
                <c:pt idx="8">
                  <c:v>기타</c:v>
                </c:pt>
                <c:pt idx="9">
                  <c:v>캠페인</c:v>
                </c:pt>
                <c:pt idx="10">
                  <c:v>어드벤처</c:v>
                </c:pt>
                <c:pt idx="11">
                  <c:v>키우기</c:v>
                </c:pt>
                <c:pt idx="12">
                  <c:v>오펜스</c:v>
                </c:pt>
                <c:pt idx="13">
                  <c:v>호환요청</c:v>
                </c:pt>
                <c:pt idx="14">
                  <c:v>밀리기반</c:v>
                </c:pt>
                <c:pt idx="15">
                  <c:v>공포</c:v>
                </c:pt>
                <c:pt idx="16">
                  <c:v>서바이벌</c:v>
                </c:pt>
                <c:pt idx="17">
                  <c:v>퍼즐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'2024.06'!$B$2:$B$27</c15:sqref>
                  </c15:fullRef>
                </c:ext>
              </c:extLst>
              <c:f>'2024.06'!$B$3:$B$20</c:f>
              <c:numCache>
                <c:formatCode>General</c:formatCode>
                <c:ptCount val="18"/>
                <c:pt idx="0">
                  <c:v>25</c:v>
                </c:pt>
                <c:pt idx="1">
                  <c:v>14</c:v>
                </c:pt>
                <c:pt idx="2">
                  <c:v>13</c:v>
                </c:pt>
                <c:pt idx="3">
                  <c:v>13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'2024.06'!$B$2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'2024.06'!$B$21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'2024.06'!$B$22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'2024.06'!$B$23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'2024.06'!$B$25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'2024.06'!$B$27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6-4245-48D5-882B-BBBC21CBE62D}"/>
            </c:ext>
          </c:extLst>
        </c:ser>
        <c:ser>
          <c:idx val="0"/>
          <c:order val="1"/>
          <c:tx>
            <c:strRef>
              <c:f>'2024.06'!$B$1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4245-48D5-882B-BBBC21CBE6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4245-48D5-882B-BBBC21CBE6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4245-48D5-882B-BBBC21CBE6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4245-48D5-882B-BBBC21CBE6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4245-48D5-882B-BBBC21CBE6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4245-48D5-882B-BBBC21CBE6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4245-48D5-882B-BBBC21CBE62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4245-48D5-882B-BBBC21CBE62D}"/>
              </c:ext>
            </c:extLst>
          </c:dPt>
          <c:dPt>
            <c:idx val="8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4245-48D5-882B-BBBC21CBE62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4245-48D5-882B-BBBC21CBE62D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4245-48D5-882B-BBBC21CBE62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4245-48D5-882B-BBBC21CBE62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4245-48D5-882B-BBBC21CBE62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4245-48D5-882B-BBBC21CBE62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4245-48D5-882B-BBBC21CBE62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4245-48D5-882B-BBBC21CBE62D}"/>
              </c:ext>
            </c:extLst>
          </c:dPt>
          <c:dPt>
            <c:idx val="16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4245-48D5-882B-BBBC21CBE62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A-4245-48D5-882B-BBBC21CBE62D}"/>
              </c:ext>
            </c:extLst>
          </c:dPt>
          <c:dLbls>
            <c:dLbl>
              <c:idx val="1"/>
              <c:layout>
                <c:manualLayout>
                  <c:x val="3.03314148912439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245-48D5-882B-BBBC21CBE62D}"/>
                </c:ext>
              </c:extLst>
            </c:dLbl>
            <c:dLbl>
              <c:idx val="7"/>
              <c:layout>
                <c:manualLayout>
                  <c:x val="-4.5497122336865944E-3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4245-48D5-882B-BBBC21CBE62D}"/>
                </c:ext>
              </c:extLst>
            </c:dLbl>
            <c:dLbl>
              <c:idx val="8"/>
              <c:layout>
                <c:manualLayout>
                  <c:x val="-1.7010968866986588E-3"/>
                  <c:y val="-2.36392204735981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4245-48D5-882B-BBBC21CBE62D}"/>
                </c:ext>
              </c:extLst>
            </c:dLbl>
            <c:dLbl>
              <c:idx val="10"/>
              <c:layout>
                <c:manualLayout>
                  <c:x val="-1.5165707445622539E-3"/>
                  <c:y val="-4.026050342113867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4245-48D5-882B-BBBC21CBE62D}"/>
                </c:ext>
              </c:extLst>
            </c:dLbl>
            <c:dLbl>
              <c:idx val="11"/>
              <c:layout>
                <c:manualLayout>
                  <c:x val="-1.5214764821064033E-3"/>
                  <c:y val="-1.3207090027095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4245-48D5-882B-BBBC21CBE62D}"/>
                </c:ext>
              </c:extLst>
            </c:dLbl>
            <c:dLbl>
              <c:idx val="13"/>
              <c:layout>
                <c:manualLayout>
                  <c:x val="-8.4743454687211714E-2"/>
                  <c:y val="-6.759050098594263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4245-48D5-882B-BBBC21CBE62D}"/>
                </c:ext>
              </c:extLst>
            </c:dLbl>
            <c:dLbl>
              <c:idx val="14"/>
              <c:layout>
                <c:manualLayout>
                  <c:x val="-6.6515495086923712E-2"/>
                  <c:y val="-7.77096031099299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4245-48D5-882B-BBBC21CBE62D}"/>
                </c:ext>
              </c:extLst>
            </c:dLbl>
            <c:dLbl>
              <c:idx val="16"/>
              <c:layout>
                <c:manualLayout>
                  <c:x val="-5.6142208414424445E-2"/>
                  <c:y val="-8.603818537610258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8-4245-48D5-882B-BBBC21CBE62D}"/>
                </c:ext>
              </c:extLst>
            </c:dLbl>
            <c:dLbl>
              <c:idx val="17"/>
              <c:layout>
                <c:manualLayout>
                  <c:x val="-4.7196481392207477E-3"/>
                  <c:y val="-0.1020784715629978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4245-48D5-882B-BBBC21CBE6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'2024.06'!$A$2:$A$27</c15:sqref>
                  </c15:fullRef>
                </c:ext>
              </c:extLst>
              <c:f>'2024.06'!$A$3:$A$20</c:f>
              <c:strCache>
                <c:ptCount val="18"/>
                <c:pt idx="0">
                  <c:v>컴까기</c:v>
                </c:pt>
                <c:pt idx="1">
                  <c:v>컨트롤</c:v>
                </c:pt>
                <c:pt idx="2">
                  <c:v>대전</c:v>
                </c:pt>
                <c:pt idx="3">
                  <c:v>RPG</c:v>
                </c:pt>
                <c:pt idx="4">
                  <c:v>디펜스</c:v>
                </c:pt>
                <c:pt idx="5">
                  <c:v>미니게임</c:v>
                </c:pt>
                <c:pt idx="6">
                  <c:v>블러드</c:v>
                </c:pt>
                <c:pt idx="7">
                  <c:v>디플로메시</c:v>
                </c:pt>
                <c:pt idx="8">
                  <c:v>기타</c:v>
                </c:pt>
                <c:pt idx="9">
                  <c:v>캠페인</c:v>
                </c:pt>
                <c:pt idx="10">
                  <c:v>어드벤처</c:v>
                </c:pt>
                <c:pt idx="11">
                  <c:v>키우기</c:v>
                </c:pt>
                <c:pt idx="12">
                  <c:v>오펜스</c:v>
                </c:pt>
                <c:pt idx="13">
                  <c:v>호환요청</c:v>
                </c:pt>
                <c:pt idx="14">
                  <c:v>밀리기반</c:v>
                </c:pt>
                <c:pt idx="15">
                  <c:v>공포</c:v>
                </c:pt>
                <c:pt idx="16">
                  <c:v>서바이벌</c:v>
                </c:pt>
                <c:pt idx="17">
                  <c:v>퍼즐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'2024.06'!$B$2:$B$27</c15:sqref>
                  </c15:fullRef>
                </c:ext>
              </c:extLst>
              <c:f>'2024.06'!$B$3:$B$20</c:f>
              <c:numCache>
                <c:formatCode>General</c:formatCode>
                <c:ptCount val="18"/>
                <c:pt idx="0">
                  <c:v>25</c:v>
                </c:pt>
                <c:pt idx="1">
                  <c:v>14</c:v>
                </c:pt>
                <c:pt idx="2">
                  <c:v>13</c:v>
                </c:pt>
                <c:pt idx="3">
                  <c:v>13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'2024.06'!$B$2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'2024.06'!$B$21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2.2675736961451302E-2"/>
                        <c:y val="-8.861621407272714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6-1CA8-4D9D-B422-5EFC903306CE}"/>
                      </c:ext>
                    </c:extLst>
                  </c15:dLbl>
                </c15:categoryFilterException>
                <c15:categoryFilterException>
                  <c15:sqref>'2024.06'!$B$22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4.5497122336865944E-3"/>
                        <c:y val="-0.11272940957918898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8-1CA8-4D9D-B422-5EFC903306CE}"/>
                      </c:ext>
                    </c:extLst>
                  </c15:dLbl>
                </c15:categoryFilterException>
                <c15:categoryFilterException>
                  <c15:sqref>'2024.06'!$B$23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9.7606846762647921E-6"/>
                        <c:y val="-9.2236865397069878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A-1CA8-4D9D-B422-5EFC903306CE}"/>
                      </c:ext>
                    </c:extLst>
                  </c15:dLbl>
                </c15:categoryFilterException>
                <c15:categoryFilterException>
                  <c15:sqref>'2024.06'!$B$25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5.5428938919270718E-17"/>
                        <c:y val="-9.5432845924475387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C-1CA8-4D9D-B422-5EFC903306CE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D-4245-48D5-882B-BBBC21CBE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'2024.07'!$B$1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15-49BE-9BBA-FAB5765B3B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15-49BE-9BBA-FAB5765B3B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A15-49BE-9BBA-FAB5765B3B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A15-49BE-9BBA-FAB5765B3B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A15-49BE-9BBA-FAB5765B3B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A15-49BE-9BBA-FAB5765B3B6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A15-49BE-9BBA-FAB5765B3B6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A15-49BE-9BBA-FAB5765B3B6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A15-49BE-9BBA-FAB5765B3B6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A15-49BE-9BBA-FAB5765B3B6F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A15-49BE-9BBA-FAB5765B3B6F}"/>
              </c:ext>
            </c:extLst>
          </c:dPt>
          <c:dPt>
            <c:idx val="1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A15-49BE-9BBA-FAB5765B3B6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A15-49BE-9BBA-FAB5765B3B6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A15-49BE-9BBA-FAB5765B3B6F}"/>
              </c:ext>
            </c:extLst>
          </c:dPt>
          <c:dPt>
            <c:idx val="1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A15-49BE-9BBA-FAB5765B3B6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7A15-49BE-9BBA-FAB5765B3B6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7A15-49BE-9BBA-FAB5765B3B6F}"/>
              </c:ext>
            </c:extLst>
          </c:dPt>
          <c:dPt>
            <c:idx val="1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7A15-49BE-9BBA-FAB5765B3B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'2024.07'!$A$2:$A$27</c15:sqref>
                  </c15:fullRef>
                </c:ext>
              </c:extLst>
              <c:f>'2024.07'!$A$2:$A$19</c:f>
              <c:strCache>
                <c:ptCount val="18"/>
                <c:pt idx="0">
                  <c:v>맞히기</c:v>
                </c:pt>
                <c:pt idx="1">
                  <c:v>컴까기</c:v>
                </c:pt>
                <c:pt idx="2">
                  <c:v>대전</c:v>
                </c:pt>
                <c:pt idx="3">
                  <c:v>키우기</c:v>
                </c:pt>
                <c:pt idx="4">
                  <c:v>캠페인</c:v>
                </c:pt>
                <c:pt idx="5">
                  <c:v>컨트롤</c:v>
                </c:pt>
                <c:pt idx="6">
                  <c:v>RPG</c:v>
                </c:pt>
                <c:pt idx="7">
                  <c:v>디펜스</c:v>
                </c:pt>
                <c:pt idx="8">
                  <c:v>미니게임</c:v>
                </c:pt>
                <c:pt idx="9">
                  <c:v>디플로메시</c:v>
                </c:pt>
                <c:pt idx="10">
                  <c:v>어드벤처</c:v>
                </c:pt>
                <c:pt idx="11">
                  <c:v>호환요청</c:v>
                </c:pt>
                <c:pt idx="12">
                  <c:v>블러드</c:v>
                </c:pt>
                <c:pt idx="13">
                  <c:v>서바이벌</c:v>
                </c:pt>
                <c:pt idx="14">
                  <c:v>기타</c:v>
                </c:pt>
                <c:pt idx="15">
                  <c:v>오펜스</c:v>
                </c:pt>
                <c:pt idx="16">
                  <c:v>공포</c:v>
                </c:pt>
                <c:pt idx="17">
                  <c:v>탈출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'2024.07'!$B$2:$B$27</c15:sqref>
                  </c15:fullRef>
                </c:ext>
              </c:extLst>
              <c:f>'2024.07'!$B$2:$B$19</c:f>
              <c:numCache>
                <c:formatCode>General</c:formatCode>
                <c:ptCount val="18"/>
                <c:pt idx="0">
                  <c:v>48</c:v>
                </c:pt>
                <c:pt idx="1">
                  <c:v>20</c:v>
                </c:pt>
                <c:pt idx="2">
                  <c:v>14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'2024.07'!$B$20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'2024.07'!$B$21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'2024.07'!$B$22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'2024.07'!$B$23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'2024.07'!$B$25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'2024.07'!$B$27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6-7A15-49BE-9BBA-FAB5765B3B6F}"/>
            </c:ext>
          </c:extLst>
        </c:ser>
        <c:ser>
          <c:idx val="0"/>
          <c:order val="1"/>
          <c:tx>
            <c:strRef>
              <c:f>'2024.07'!$B$1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7A15-49BE-9BBA-FAB5765B3B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7A15-49BE-9BBA-FAB5765B3B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7A15-49BE-9BBA-FAB5765B3B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7A15-49BE-9BBA-FAB5765B3B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7A15-49BE-9BBA-FAB5765B3B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7A15-49BE-9BBA-FAB5765B3B6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7A15-49BE-9BBA-FAB5765B3B6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7A15-49BE-9BBA-FAB5765B3B6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7A15-49BE-9BBA-FAB5765B3B6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7A15-49BE-9BBA-FAB5765B3B6F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7A15-49BE-9BBA-FAB5765B3B6F}"/>
              </c:ext>
            </c:extLst>
          </c:dPt>
          <c:dPt>
            <c:idx val="11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7A15-49BE-9BBA-FAB5765B3B6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7A15-49BE-9BBA-FAB5765B3B6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7A15-49BE-9BBA-FAB5765B3B6F}"/>
              </c:ext>
            </c:extLst>
          </c:dPt>
          <c:dPt>
            <c:idx val="14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7A15-49BE-9BBA-FAB5765B3B6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7A15-49BE-9BBA-FAB5765B3B6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7A15-49BE-9BBA-FAB5765B3B6F}"/>
              </c:ext>
            </c:extLst>
          </c:dPt>
          <c:dPt>
            <c:idx val="17"/>
            <c:bubble3D val="0"/>
            <c:spPr>
              <a:solidFill>
                <a:schemeClr val="accent4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A-7A15-49BE-9BBA-FAB5765B3B6F}"/>
              </c:ext>
            </c:extLst>
          </c:dPt>
          <c:dLbls>
            <c:dLbl>
              <c:idx val="3"/>
              <c:layout>
                <c:manualLayout>
                  <c:x val="-3.0331922795364865E-3"/>
                  <c:y val="4.261736763996383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A15-49BE-9BBA-FAB5765B3B6F}"/>
                </c:ext>
              </c:extLst>
            </c:dLbl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A15-49BE-9BBA-FAB5765B3B6F}"/>
                </c:ext>
              </c:extLst>
            </c:dLbl>
            <c:dLbl>
              <c:idx val="9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A15-49BE-9BBA-FAB5765B3B6F}"/>
                </c:ext>
              </c:extLst>
            </c:dLbl>
            <c:dLbl>
              <c:idx val="10"/>
              <c:layout>
                <c:manualLayout>
                  <c:x val="0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A15-49BE-9BBA-FAB5765B3B6F}"/>
                </c:ext>
              </c:extLst>
            </c:dLbl>
            <c:dLbl>
              <c:idx val="11"/>
              <c:layout>
                <c:manualLayout>
                  <c:x val="-8.9209444057588044E-2"/>
                  <c:y val="-8.395675099359119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7A15-49BE-9BBA-FAB5765B3B6F}"/>
                </c:ext>
              </c:extLst>
            </c:dLbl>
            <c:dLbl>
              <c:idx val="13"/>
              <c:layout>
                <c:manualLayout>
                  <c:x val="-8.0407270519756519E-2"/>
                  <c:y val="-9.348328921487537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213650665213309E-2"/>
                      <c:h val="2.6153370961229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2-7A15-49BE-9BBA-FAB5765B3B6F}"/>
                </c:ext>
              </c:extLst>
            </c:dLbl>
            <c:dLbl>
              <c:idx val="14"/>
              <c:layout>
                <c:manualLayout>
                  <c:x val="-1.6842537539950308E-2"/>
                  <c:y val="-7.934945930154106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7A15-49BE-9BBA-FAB5765B3B6F}"/>
                </c:ext>
              </c:extLst>
            </c:dLbl>
            <c:dLbl>
              <c:idx val="15"/>
              <c:layout>
                <c:manualLayout>
                  <c:x val="-1.5117157974300832E-2"/>
                  <c:y val="-0.1077027832576222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7A15-49BE-9BBA-FAB5765B3B6F}"/>
                </c:ext>
              </c:extLst>
            </c:dLbl>
            <c:dLbl>
              <c:idx val="16"/>
              <c:layout>
                <c:manualLayout>
                  <c:x val="0"/>
                  <c:y val="-7.770960310992995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7A15-49BE-9BBA-FAB5765B3B6F}"/>
                </c:ext>
              </c:extLst>
            </c:dLbl>
            <c:dLbl>
              <c:idx val="17"/>
              <c:layout>
                <c:manualLayout>
                  <c:x val="1.3595681492194483E-2"/>
                  <c:y val="-0.115413413693013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A15-49BE-9BBA-FAB5765B3B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'2024.07'!$A$2:$A$27</c15:sqref>
                  </c15:fullRef>
                </c:ext>
              </c:extLst>
              <c:f>'2024.07'!$A$2:$A$19</c:f>
              <c:strCache>
                <c:ptCount val="18"/>
                <c:pt idx="0">
                  <c:v>맞히기</c:v>
                </c:pt>
                <c:pt idx="1">
                  <c:v>컴까기</c:v>
                </c:pt>
                <c:pt idx="2">
                  <c:v>대전</c:v>
                </c:pt>
                <c:pt idx="3">
                  <c:v>키우기</c:v>
                </c:pt>
                <c:pt idx="4">
                  <c:v>캠페인</c:v>
                </c:pt>
                <c:pt idx="5">
                  <c:v>컨트롤</c:v>
                </c:pt>
                <c:pt idx="6">
                  <c:v>RPG</c:v>
                </c:pt>
                <c:pt idx="7">
                  <c:v>디펜스</c:v>
                </c:pt>
                <c:pt idx="8">
                  <c:v>미니게임</c:v>
                </c:pt>
                <c:pt idx="9">
                  <c:v>디플로메시</c:v>
                </c:pt>
                <c:pt idx="10">
                  <c:v>어드벤처</c:v>
                </c:pt>
                <c:pt idx="11">
                  <c:v>호환요청</c:v>
                </c:pt>
                <c:pt idx="12">
                  <c:v>블러드</c:v>
                </c:pt>
                <c:pt idx="13">
                  <c:v>서바이벌</c:v>
                </c:pt>
                <c:pt idx="14">
                  <c:v>기타</c:v>
                </c:pt>
                <c:pt idx="15">
                  <c:v>오펜스</c:v>
                </c:pt>
                <c:pt idx="16">
                  <c:v>공포</c:v>
                </c:pt>
                <c:pt idx="17">
                  <c:v>탈출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'2024.07'!$B$2:$B$27</c15:sqref>
                  </c15:fullRef>
                </c:ext>
              </c:extLst>
              <c:f>'2024.07'!$B$2:$B$19</c:f>
              <c:numCache>
                <c:formatCode>General</c:formatCode>
                <c:ptCount val="18"/>
                <c:pt idx="0">
                  <c:v>48</c:v>
                </c:pt>
                <c:pt idx="1">
                  <c:v>20</c:v>
                </c:pt>
                <c:pt idx="2">
                  <c:v>14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'2024.07'!$B$20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7.2562358276643993E-2"/>
                        <c:y val="-9.8159498665174691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4-1525-4C70-8297-0C9CE2F99906}"/>
                      </c:ext>
                    </c:extLst>
                  </c15:dLbl>
                </c15:categoryFilterException>
                <c15:categoryFilterException>
                  <c15:sqref>'2024.07'!$B$21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3.2661393516286654E-3"/>
                        <c:y val="-0.1047412519265036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6-1525-4C70-8297-0C9CE2F99906}"/>
                      </c:ext>
                    </c:extLst>
                  </c15:dLbl>
                </c15:categoryFilterException>
                <c15:categoryFilterException>
                  <c15:sqref>'2024.07'!$B$22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1.5060974521042068E-2"/>
                        <c:y val="-8.542688915437374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8-1525-4C70-8297-0C9CE2F99906}"/>
                      </c:ext>
                    </c:extLst>
                  </c15:dLbl>
                </c15:categoryFilterException>
                <c15:categoryFilterException>
                  <c15:sqref>'2024.07'!$B$23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1.2103487064117041E-2"/>
                        <c:y val="-0.1198443317451833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A-1525-4C70-8297-0C9CE2F99906}"/>
                      </c:ext>
                    </c:extLst>
                  </c15:dLbl>
                </c15:categoryFilterException>
                <c15:categoryFilterException>
                  <c15:sqref>'2024.07'!$B$25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4.5286619729442753E-3"/>
                        <c:y val="-8.412782343456701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C-1525-4C70-8297-0C9CE2F9990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D-7A15-49BE-9BBA-FAB5765B3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'2024.07'!$B$1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A6-4FD3-AC0E-C665194312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A6-4FD3-AC0E-C665194312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A6-4FD3-AC0E-C665194312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8A6-4FD3-AC0E-C665194312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8A6-4FD3-AC0E-C6651943128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8A6-4FD3-AC0E-C6651943128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8A6-4FD3-AC0E-C6651943128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8A6-4FD3-AC0E-C6651943128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8A6-4FD3-AC0E-C66519431280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8A6-4FD3-AC0E-C66519431280}"/>
              </c:ext>
            </c:extLst>
          </c:dPt>
          <c:dPt>
            <c:idx val="10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8A6-4FD3-AC0E-C6651943128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8A6-4FD3-AC0E-C66519431280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8A6-4FD3-AC0E-C66519431280}"/>
              </c:ext>
            </c:extLst>
          </c:dPt>
          <c:dPt>
            <c:idx val="13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8A6-4FD3-AC0E-C6651943128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8A6-4FD3-AC0E-C6651943128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8A6-4FD3-AC0E-C66519431280}"/>
              </c:ext>
            </c:extLst>
          </c:dPt>
          <c:dPt>
            <c:idx val="16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A8A6-4FD3-AC0E-C665194312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'2024.07'!$A$2:$A$27</c15:sqref>
                  </c15:fullRef>
                </c:ext>
              </c:extLst>
              <c:f>'2024.07'!$A$3:$A$19</c:f>
              <c:strCache>
                <c:ptCount val="17"/>
                <c:pt idx="0">
                  <c:v>컴까기</c:v>
                </c:pt>
                <c:pt idx="1">
                  <c:v>대전</c:v>
                </c:pt>
                <c:pt idx="2">
                  <c:v>키우기</c:v>
                </c:pt>
                <c:pt idx="3">
                  <c:v>캠페인</c:v>
                </c:pt>
                <c:pt idx="4">
                  <c:v>컨트롤</c:v>
                </c:pt>
                <c:pt idx="5">
                  <c:v>RPG</c:v>
                </c:pt>
                <c:pt idx="6">
                  <c:v>디펜스</c:v>
                </c:pt>
                <c:pt idx="7">
                  <c:v>미니게임</c:v>
                </c:pt>
                <c:pt idx="8">
                  <c:v>디플로메시</c:v>
                </c:pt>
                <c:pt idx="9">
                  <c:v>어드벤처</c:v>
                </c:pt>
                <c:pt idx="10">
                  <c:v>호환요청</c:v>
                </c:pt>
                <c:pt idx="11">
                  <c:v>블러드</c:v>
                </c:pt>
                <c:pt idx="12">
                  <c:v>서바이벌</c:v>
                </c:pt>
                <c:pt idx="13">
                  <c:v>기타</c:v>
                </c:pt>
                <c:pt idx="14">
                  <c:v>오펜스</c:v>
                </c:pt>
                <c:pt idx="15">
                  <c:v>공포</c:v>
                </c:pt>
                <c:pt idx="16">
                  <c:v>탈출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'2024.07'!$B$2:$B$27</c15:sqref>
                  </c15:fullRef>
                </c:ext>
              </c:extLst>
              <c:f>'2024.07'!$B$3:$B$19</c:f>
              <c:numCache>
                <c:formatCode>General</c:formatCode>
                <c:ptCount val="17"/>
                <c:pt idx="0">
                  <c:v>20</c:v>
                </c:pt>
                <c:pt idx="1">
                  <c:v>14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'2024.07'!$B$2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'2024.07'!$B$20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'2024.07'!$B$21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'2024.07'!$B$22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'2024.07'!$B$23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'2024.07'!$B$25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'2024.07'!$B$27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4-A8A6-4FD3-AC0E-C66519431280}"/>
            </c:ext>
          </c:extLst>
        </c:ser>
        <c:ser>
          <c:idx val="0"/>
          <c:order val="1"/>
          <c:tx>
            <c:strRef>
              <c:f>'2024.07'!$B$1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A8A6-4FD3-AC0E-C665194312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A8A6-4FD3-AC0E-C665194312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A8A6-4FD3-AC0E-C665194312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A8A6-4FD3-AC0E-C665194312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A8A6-4FD3-AC0E-C6651943128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A8A6-4FD3-AC0E-C6651943128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A8A6-4FD3-AC0E-C6651943128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A8A6-4FD3-AC0E-C6651943128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A8A6-4FD3-AC0E-C66519431280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A8A6-4FD3-AC0E-C66519431280}"/>
              </c:ext>
            </c:extLst>
          </c:dPt>
          <c:dPt>
            <c:idx val="10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A8A6-4FD3-AC0E-C6651943128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A8A6-4FD3-AC0E-C66519431280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A8A6-4FD3-AC0E-C66519431280}"/>
              </c:ext>
            </c:extLst>
          </c:dPt>
          <c:dPt>
            <c:idx val="13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A8A6-4FD3-AC0E-C6651943128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A8A6-4FD3-AC0E-C6651943128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A8A6-4FD3-AC0E-C66519431280}"/>
              </c:ext>
            </c:extLst>
          </c:dPt>
          <c:dPt>
            <c:idx val="16"/>
            <c:bubble3D val="0"/>
            <c:spPr>
              <a:solidFill>
                <a:schemeClr val="accent4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A8A6-4FD3-AC0E-C66519431280}"/>
              </c:ext>
            </c:extLst>
          </c:dPt>
          <c:dLbls>
            <c:dLbl>
              <c:idx val="2"/>
              <c:layout>
                <c:manualLayout>
                  <c:x val="-1.5214764821064033E-3"/>
                  <c:y val="-1.3207090027095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A8A6-4FD3-AC0E-C66519431280}"/>
                </c:ext>
              </c:extLst>
            </c:dLbl>
            <c:dLbl>
              <c:idx val="4"/>
              <c:layout>
                <c:manualLayout>
                  <c:x val="3.03314148912439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A8A6-4FD3-AC0E-C66519431280}"/>
                </c:ext>
              </c:extLst>
            </c:dLbl>
            <c:dLbl>
              <c:idx val="8"/>
              <c:layout>
                <c:manualLayout>
                  <c:x val="-4.5497122336865944E-3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A8A6-4FD3-AC0E-C66519431280}"/>
                </c:ext>
              </c:extLst>
            </c:dLbl>
            <c:dLbl>
              <c:idx val="9"/>
              <c:layout>
                <c:manualLayout>
                  <c:x val="-1.5165707445622539E-3"/>
                  <c:y val="-4.026050342113867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A8A6-4FD3-AC0E-C66519431280}"/>
                </c:ext>
              </c:extLst>
            </c:dLbl>
            <c:dLbl>
              <c:idx val="10"/>
              <c:layout>
                <c:manualLayout>
                  <c:x val="-8.4743454687211714E-2"/>
                  <c:y val="-6.759050098594263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A8A6-4FD3-AC0E-C66519431280}"/>
                </c:ext>
              </c:extLst>
            </c:dLbl>
            <c:dLbl>
              <c:idx val="12"/>
              <c:layout>
                <c:manualLayout>
                  <c:x val="-8.637652436302605E-2"/>
                  <c:y val="-7.785822715400467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E-A8A6-4FD3-AC0E-C66519431280}"/>
                </c:ext>
              </c:extLst>
            </c:dLbl>
            <c:dLbl>
              <c:idx val="13"/>
              <c:layout>
                <c:manualLayout>
                  <c:x val="-1.7010968866986588E-3"/>
                  <c:y val="-2.36392204735981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A8A6-4FD3-AC0E-C66519431280}"/>
                </c:ext>
              </c:extLst>
            </c:dLbl>
            <c:dLbl>
              <c:idx val="14"/>
              <c:layout>
                <c:manualLayout>
                  <c:x val="-5.4421768707482991E-2"/>
                  <c:y val="-8.997954044307679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A8A6-4FD3-AC0E-C66519431280}"/>
                </c:ext>
              </c:extLst>
            </c:dLbl>
            <c:dLbl>
              <c:idx val="16"/>
              <c:layout>
                <c:manualLayout>
                  <c:x val="-9.7606846762647921E-6"/>
                  <c:y val="-9.223686539706987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A8A6-4FD3-AC0E-C665194312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'2024.07'!$A$2:$A$27</c15:sqref>
                  </c15:fullRef>
                </c:ext>
              </c:extLst>
              <c:f>'2024.07'!$A$3:$A$19</c:f>
              <c:strCache>
                <c:ptCount val="17"/>
                <c:pt idx="0">
                  <c:v>컴까기</c:v>
                </c:pt>
                <c:pt idx="1">
                  <c:v>대전</c:v>
                </c:pt>
                <c:pt idx="2">
                  <c:v>키우기</c:v>
                </c:pt>
                <c:pt idx="3">
                  <c:v>캠페인</c:v>
                </c:pt>
                <c:pt idx="4">
                  <c:v>컨트롤</c:v>
                </c:pt>
                <c:pt idx="5">
                  <c:v>RPG</c:v>
                </c:pt>
                <c:pt idx="6">
                  <c:v>디펜스</c:v>
                </c:pt>
                <c:pt idx="7">
                  <c:v>미니게임</c:v>
                </c:pt>
                <c:pt idx="8">
                  <c:v>디플로메시</c:v>
                </c:pt>
                <c:pt idx="9">
                  <c:v>어드벤처</c:v>
                </c:pt>
                <c:pt idx="10">
                  <c:v>호환요청</c:v>
                </c:pt>
                <c:pt idx="11">
                  <c:v>블러드</c:v>
                </c:pt>
                <c:pt idx="12">
                  <c:v>서바이벌</c:v>
                </c:pt>
                <c:pt idx="13">
                  <c:v>기타</c:v>
                </c:pt>
                <c:pt idx="14">
                  <c:v>오펜스</c:v>
                </c:pt>
                <c:pt idx="15">
                  <c:v>공포</c:v>
                </c:pt>
                <c:pt idx="16">
                  <c:v>탈출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'2024.07'!$B$2:$B$27</c15:sqref>
                  </c15:fullRef>
                </c:ext>
              </c:extLst>
              <c:f>'2024.07'!$B$3:$B$19</c:f>
              <c:numCache>
                <c:formatCode>General</c:formatCode>
                <c:ptCount val="17"/>
                <c:pt idx="0">
                  <c:v>20</c:v>
                </c:pt>
                <c:pt idx="1">
                  <c:v>14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'2024.07'!$B$2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'2024.07'!$B$20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6.6515495086923712E-2"/>
                        <c:y val="-7.770960310992997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4-5D09-436C-99DE-621DDCE3B4E1}"/>
                      </c:ext>
                    </c:extLst>
                  </c15:dLbl>
                </c15:categoryFilterException>
                <c15:categoryFilterException>
                  <c15:sqref>'2024.07'!$B$21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4.7196481392207477E-3"/>
                        <c:y val="-0.1020784715629978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6-5D09-436C-99DE-621DDCE3B4E1}"/>
                      </c:ext>
                    </c:extLst>
                  </c15:dLbl>
                </c15:categoryFilterException>
                <c15:categoryFilterException>
                  <c15:sqref>'2024.07'!$B$22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2.2675736961451302E-2"/>
                        <c:y val="-8.861621407272714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8-5D09-436C-99DE-621DDCE3B4E1}"/>
                      </c:ext>
                    </c:extLst>
                  </c15:dLbl>
                </c15:categoryFilterException>
                <c15:categoryFilterException>
                  <c15:sqref>'2024.07'!$B$23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4.5497122336865944E-3"/>
                        <c:y val="-0.11272940957918898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A-5D09-436C-99DE-621DDCE3B4E1}"/>
                      </c:ext>
                    </c:extLst>
                  </c15:dLbl>
                </c15:categoryFilterException>
                <c15:categoryFilterException>
                  <c15:sqref>'2024.07'!$B$25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5.5428938919270718E-17"/>
                        <c:y val="-9.5432845924475387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C-5D09-436C-99DE-621DDCE3B4E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9-A8A6-4FD3-AC0E-C66519431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'2024.08'!$B$1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CB-4514-B0FE-1AD409F730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CB-4514-B0FE-1AD409F730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8CB-4514-B0FE-1AD409F730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8CB-4514-B0FE-1AD409F730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8CB-4514-B0FE-1AD409F730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8CB-4514-B0FE-1AD409F73077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8CB-4514-B0FE-1AD409F7307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8CB-4514-B0FE-1AD409F7307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8CB-4514-B0FE-1AD409F7307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8CB-4514-B0FE-1AD409F73077}"/>
              </c:ext>
            </c:extLst>
          </c:dPt>
          <c:dPt>
            <c:idx val="10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8CB-4514-B0FE-1AD409F7307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8CB-4514-B0FE-1AD409F73077}"/>
              </c:ext>
            </c:extLst>
          </c:dPt>
          <c:dPt>
            <c:idx val="1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8CB-4514-B0FE-1AD409F7307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8CB-4514-B0FE-1AD409F73077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8CB-4514-B0FE-1AD409F7307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8CB-4514-B0FE-1AD409F73077}"/>
              </c:ext>
            </c:extLst>
          </c:dPt>
          <c:dPt>
            <c:idx val="1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58CB-4514-B0FE-1AD409F7307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58CB-4514-B0FE-1AD409F7307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58CB-4514-B0FE-1AD409F73077}"/>
              </c:ext>
            </c:extLst>
          </c:dPt>
          <c:dPt>
            <c:idx val="1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58CB-4514-B0FE-1AD409F73077}"/>
              </c:ext>
            </c:extLst>
          </c:dPt>
          <c:dPt>
            <c:idx val="2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58CB-4514-B0FE-1AD409F73077}"/>
              </c:ext>
            </c:extLst>
          </c:dPt>
          <c:dPt>
            <c:idx val="21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58CB-4514-B0FE-1AD409F7307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9C88-4AEE-A555-7084BD2ABD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'2024.08'!$A$2:$A$27</c15:sqref>
                  </c15:fullRef>
                </c:ext>
              </c:extLst>
              <c:f>'2024.08'!$A$2:$A$24</c:f>
              <c:strCache>
                <c:ptCount val="23"/>
                <c:pt idx="0">
                  <c:v>맞히기</c:v>
                </c:pt>
                <c:pt idx="1">
                  <c:v>대전</c:v>
                </c:pt>
                <c:pt idx="2">
                  <c:v>컴까기</c:v>
                </c:pt>
                <c:pt idx="3">
                  <c:v>키우기</c:v>
                </c:pt>
                <c:pt idx="4">
                  <c:v>디펜스</c:v>
                </c:pt>
                <c:pt idx="5">
                  <c:v>RPG</c:v>
                </c:pt>
                <c:pt idx="6">
                  <c:v>호환요청</c:v>
                </c:pt>
                <c:pt idx="7">
                  <c:v>캠페인</c:v>
                </c:pt>
                <c:pt idx="8">
                  <c:v>미니게임</c:v>
                </c:pt>
                <c:pt idx="9">
                  <c:v>디플로메시</c:v>
                </c:pt>
                <c:pt idx="10">
                  <c:v>서바이벌</c:v>
                </c:pt>
                <c:pt idx="11">
                  <c:v>컨트롤</c:v>
                </c:pt>
                <c:pt idx="12">
                  <c:v>어드벤처</c:v>
                </c:pt>
                <c:pt idx="13">
                  <c:v>블러드</c:v>
                </c:pt>
                <c:pt idx="14">
                  <c:v>퍼즐</c:v>
                </c:pt>
                <c:pt idx="15">
                  <c:v>병맛</c:v>
                </c:pt>
                <c:pt idx="16">
                  <c:v>기타</c:v>
                </c:pt>
                <c:pt idx="17">
                  <c:v>오펜스</c:v>
                </c:pt>
                <c:pt idx="18">
                  <c:v>공포</c:v>
                </c:pt>
                <c:pt idx="19">
                  <c:v>탈출</c:v>
                </c:pt>
                <c:pt idx="20">
                  <c:v>밀리기반</c:v>
                </c:pt>
                <c:pt idx="21">
                  <c:v>리듬게임</c:v>
                </c:pt>
                <c:pt idx="22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'2024.08'!$B$2:$B$27</c15:sqref>
                  </c15:fullRef>
                </c:ext>
              </c:extLst>
              <c:f>'2024.08'!$B$2:$B$24</c:f>
              <c:numCache>
                <c:formatCode>General</c:formatCode>
                <c:ptCount val="23"/>
                <c:pt idx="0">
                  <c:v>61</c:v>
                </c:pt>
                <c:pt idx="1">
                  <c:v>15</c:v>
                </c:pt>
                <c:pt idx="2">
                  <c:v>13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'2024.08'!$B$25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'2024.08'!$B$27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4-58CB-4514-B0FE-1AD409F73077}"/>
            </c:ext>
          </c:extLst>
        </c:ser>
        <c:ser>
          <c:idx val="0"/>
          <c:order val="1"/>
          <c:tx>
            <c:strRef>
              <c:f>'2024.08'!$B$1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58CB-4514-B0FE-1AD409F730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58CB-4514-B0FE-1AD409F730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58CB-4514-B0FE-1AD409F730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58CB-4514-B0FE-1AD409F730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58CB-4514-B0FE-1AD409F730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58CB-4514-B0FE-1AD409F73077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58CB-4514-B0FE-1AD409F7307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58CB-4514-B0FE-1AD409F7307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58CB-4514-B0FE-1AD409F7307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58CB-4514-B0FE-1AD409F73077}"/>
              </c:ext>
            </c:extLst>
          </c:dPt>
          <c:dPt>
            <c:idx val="10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58CB-4514-B0FE-1AD409F7307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58CB-4514-B0FE-1AD409F73077}"/>
              </c:ext>
            </c:extLst>
          </c:dPt>
          <c:dPt>
            <c:idx val="1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58CB-4514-B0FE-1AD409F7307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58CB-4514-B0FE-1AD409F73077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58CB-4514-B0FE-1AD409F7307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58CB-4514-B0FE-1AD409F73077}"/>
              </c:ext>
            </c:extLst>
          </c:dPt>
          <c:dPt>
            <c:idx val="16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58CB-4514-B0FE-1AD409F7307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58CB-4514-B0FE-1AD409F7307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6-58CB-4514-B0FE-1AD409F73077}"/>
              </c:ext>
            </c:extLst>
          </c:dPt>
          <c:dPt>
            <c:idx val="19"/>
            <c:bubble3D val="0"/>
            <c:spPr>
              <a:solidFill>
                <a:schemeClr val="accent4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8-58CB-4514-B0FE-1AD409F73077}"/>
              </c:ext>
            </c:extLst>
          </c:dPt>
          <c:dPt>
            <c:idx val="20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A-58CB-4514-B0FE-1AD409F73077}"/>
              </c:ext>
            </c:extLst>
          </c:dPt>
          <c:dPt>
            <c:idx val="21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C-58CB-4514-B0FE-1AD409F7307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F-58CB-4514-B0FE-1AD409F73077}"/>
              </c:ext>
            </c:extLst>
          </c:dPt>
          <c:dLbls>
            <c:dLbl>
              <c:idx val="3"/>
              <c:layout>
                <c:manualLayout>
                  <c:x val="-3.0331922795364865E-3"/>
                  <c:y val="4.261736763996383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8CB-4514-B0FE-1AD409F73077}"/>
                </c:ext>
              </c:extLst>
            </c:dLbl>
            <c:dLbl>
              <c:idx val="6"/>
              <c:layout>
                <c:manualLayout>
                  <c:x val="-3.0416436040733002E-3"/>
                  <c:y val="1.932810338436646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58CB-4514-B0FE-1AD409F73077}"/>
                </c:ext>
              </c:extLst>
            </c:dLbl>
            <c:dLbl>
              <c:idx val="9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58CB-4514-B0FE-1AD409F73077}"/>
                </c:ext>
              </c:extLst>
            </c:dLbl>
            <c:dLbl>
              <c:idx val="10"/>
              <c:layout>
                <c:manualLayout>
                  <c:x val="-3.3097648508222462E-3"/>
                  <c:y val="5.8623033925034871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213650665213309E-2"/>
                      <c:h val="2.6153370961229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A-58CB-4514-B0FE-1AD409F73077}"/>
                </c:ext>
              </c:extLst>
            </c:dLbl>
            <c:dLbl>
              <c:idx val="11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58CB-4514-B0FE-1AD409F73077}"/>
                </c:ext>
              </c:extLst>
            </c:dLbl>
            <c:dLbl>
              <c:idx val="12"/>
              <c:layout>
                <c:manualLayout>
                  <c:x val="-9.2214663643235079E-2"/>
                  <c:y val="-7.225629762853137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58CB-4514-B0FE-1AD409F73077}"/>
                </c:ext>
              </c:extLst>
            </c:dLbl>
            <c:dLbl>
              <c:idx val="14"/>
              <c:layout>
                <c:manualLayout>
                  <c:x val="-7.8980660235738173E-2"/>
                  <c:y val="-7.320741819337532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58CB-4514-B0FE-1AD409F73077}"/>
                </c:ext>
              </c:extLst>
            </c:dLbl>
            <c:dLbl>
              <c:idx val="16"/>
              <c:layout>
                <c:manualLayout>
                  <c:x val="-7.2817256528800986E-2"/>
                  <c:y val="-7.386529986190314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58CB-4514-B0FE-1AD409F73077}"/>
                </c:ext>
              </c:extLst>
            </c:dLbl>
            <c:dLbl>
              <c:idx val="17"/>
              <c:layout>
                <c:manualLayout>
                  <c:x val="-8.0231679401418565E-2"/>
                  <c:y val="-9.810555125172405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58CB-4514-B0FE-1AD409F73077}"/>
                </c:ext>
              </c:extLst>
            </c:dLbl>
            <c:dLbl>
              <c:idx val="18"/>
              <c:layout>
                <c:manualLayout>
                  <c:x val="-4.6943027595155319E-2"/>
                  <c:y val="-0.1065013693093343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58CB-4514-B0FE-1AD409F73077}"/>
                </c:ext>
              </c:extLst>
            </c:dLbl>
            <c:dLbl>
              <c:idx val="19"/>
              <c:layout>
                <c:manualLayout>
                  <c:x val="-9.1186562823649935E-3"/>
                  <c:y val="-8.936373536877216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58CB-4514-B0FE-1AD409F73077}"/>
                </c:ext>
              </c:extLst>
            </c:dLbl>
            <c:dLbl>
              <c:idx val="20"/>
              <c:layout>
                <c:manualLayout>
                  <c:x val="-5.136225399027658E-2"/>
                  <c:y val="-0.1283223348127574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58CB-4514-B0FE-1AD409F73077}"/>
                </c:ext>
              </c:extLst>
            </c:dLbl>
            <c:dLbl>
              <c:idx val="21"/>
              <c:layout>
                <c:manualLayout>
                  <c:x val="1.8182344986062558E-2"/>
                  <c:y val="-0.1129891793903183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58CB-4514-B0FE-1AD409F73077}"/>
                </c:ext>
              </c:extLst>
            </c:dLbl>
            <c:dLbl>
              <c:idx val="22"/>
              <c:layout>
                <c:manualLayout>
                  <c:x val="4.6943027595155319E-2"/>
                  <c:y val="-8.500427072510778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58CB-4514-B0FE-1AD409F730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'2024.08'!$A$2:$A$27</c15:sqref>
                  </c15:fullRef>
                </c:ext>
              </c:extLst>
              <c:f>'2024.08'!$A$2:$A$24</c:f>
              <c:strCache>
                <c:ptCount val="23"/>
                <c:pt idx="0">
                  <c:v>맞히기</c:v>
                </c:pt>
                <c:pt idx="1">
                  <c:v>대전</c:v>
                </c:pt>
                <c:pt idx="2">
                  <c:v>컴까기</c:v>
                </c:pt>
                <c:pt idx="3">
                  <c:v>키우기</c:v>
                </c:pt>
                <c:pt idx="4">
                  <c:v>디펜스</c:v>
                </c:pt>
                <c:pt idx="5">
                  <c:v>RPG</c:v>
                </c:pt>
                <c:pt idx="6">
                  <c:v>호환요청</c:v>
                </c:pt>
                <c:pt idx="7">
                  <c:v>캠페인</c:v>
                </c:pt>
                <c:pt idx="8">
                  <c:v>미니게임</c:v>
                </c:pt>
                <c:pt idx="9">
                  <c:v>디플로메시</c:v>
                </c:pt>
                <c:pt idx="10">
                  <c:v>서바이벌</c:v>
                </c:pt>
                <c:pt idx="11">
                  <c:v>컨트롤</c:v>
                </c:pt>
                <c:pt idx="12">
                  <c:v>어드벤처</c:v>
                </c:pt>
                <c:pt idx="13">
                  <c:v>블러드</c:v>
                </c:pt>
                <c:pt idx="14">
                  <c:v>퍼즐</c:v>
                </c:pt>
                <c:pt idx="15">
                  <c:v>병맛</c:v>
                </c:pt>
                <c:pt idx="16">
                  <c:v>기타</c:v>
                </c:pt>
                <c:pt idx="17">
                  <c:v>오펜스</c:v>
                </c:pt>
                <c:pt idx="18">
                  <c:v>공포</c:v>
                </c:pt>
                <c:pt idx="19">
                  <c:v>탈출</c:v>
                </c:pt>
                <c:pt idx="20">
                  <c:v>밀리기반</c:v>
                </c:pt>
                <c:pt idx="21">
                  <c:v>리듬게임</c:v>
                </c:pt>
                <c:pt idx="22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'2024.08'!$B$2:$B$27</c15:sqref>
                  </c15:fullRef>
                </c:ext>
              </c:extLst>
              <c:f>'2024.08'!$B$2:$B$24</c:f>
              <c:numCache>
                <c:formatCode>General</c:formatCode>
                <c:ptCount val="23"/>
                <c:pt idx="0">
                  <c:v>61</c:v>
                </c:pt>
                <c:pt idx="1">
                  <c:v>15</c:v>
                </c:pt>
                <c:pt idx="2">
                  <c:v>13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'2024.08'!$B$25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22"/>
                    <c:layout>
                      <c:manualLayout>
                        <c:x val="-1.5060974521042068E-2"/>
                        <c:y val="-8.542688915437374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79F5-425F-81AE-5037EA0E926A}"/>
                      </c:ext>
                    </c:extLst>
                  </c15:dLbl>
                </c15:categoryFilterException>
                <c15:categoryFilterException>
                  <c15:sqref>'2024.08'!$B$27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22"/>
                    <c:layout>
                      <c:manualLayout>
                        <c:x val="4.5286619729442753E-3"/>
                        <c:y val="-8.412782343456701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79F5-425F-81AE-5037EA0E926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9-58CB-4514-B0FE-1AD409F73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'2024.08'!$B$1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42-4AA8-87A9-5D0AAFCB19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42-4AA8-87A9-5D0AAFCB19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742-4AA8-87A9-5D0AAFCB19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742-4AA8-87A9-5D0AAFCB19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742-4AA8-87A9-5D0AAFCB19A8}"/>
              </c:ext>
            </c:extLst>
          </c:dPt>
          <c:dPt>
            <c:idx val="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742-4AA8-87A9-5D0AAFCB19A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742-4AA8-87A9-5D0AAFCB19A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742-4AA8-87A9-5D0AAFCB19A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742-4AA8-87A9-5D0AAFCB19A8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742-4AA8-87A9-5D0AAFCB19A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742-4AA8-87A9-5D0AAFCB19A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742-4AA8-87A9-5D0AAFCB19A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742-4AA8-87A9-5D0AAFCB19A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742-4AA8-87A9-5D0AAFCB19A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742-4AA8-87A9-5D0AAFCB19A8}"/>
              </c:ext>
            </c:extLst>
          </c:dPt>
          <c:dPt>
            <c:idx val="15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742-4AA8-87A9-5D0AAFCB19A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E742-4AA8-87A9-5D0AAFCB19A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E742-4AA8-87A9-5D0AAFCB19A8}"/>
              </c:ext>
            </c:extLst>
          </c:dPt>
          <c:dPt>
            <c:idx val="18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E742-4AA8-87A9-5D0AAFCB19A8}"/>
              </c:ext>
            </c:extLst>
          </c:dPt>
          <c:dPt>
            <c:idx val="19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E742-4AA8-87A9-5D0AAFCB19A8}"/>
              </c:ext>
            </c:extLst>
          </c:dPt>
          <c:dPt>
            <c:idx val="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E742-4AA8-87A9-5D0AAFCB19A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D30-43FA-B99F-488F10B9E0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'2024.08'!$A$2:$A$27</c15:sqref>
                  </c15:fullRef>
                </c:ext>
              </c:extLst>
              <c:f>'2024.08'!$A$3:$A$24</c:f>
              <c:strCache>
                <c:ptCount val="22"/>
                <c:pt idx="0">
                  <c:v>대전</c:v>
                </c:pt>
                <c:pt idx="1">
                  <c:v>컴까기</c:v>
                </c:pt>
                <c:pt idx="2">
                  <c:v>키우기</c:v>
                </c:pt>
                <c:pt idx="3">
                  <c:v>디펜스</c:v>
                </c:pt>
                <c:pt idx="4">
                  <c:v>RPG</c:v>
                </c:pt>
                <c:pt idx="5">
                  <c:v>호환요청</c:v>
                </c:pt>
                <c:pt idx="6">
                  <c:v>캠페인</c:v>
                </c:pt>
                <c:pt idx="7">
                  <c:v>미니게임</c:v>
                </c:pt>
                <c:pt idx="8">
                  <c:v>디플로메시</c:v>
                </c:pt>
                <c:pt idx="9">
                  <c:v>서바이벌</c:v>
                </c:pt>
                <c:pt idx="10">
                  <c:v>컨트롤</c:v>
                </c:pt>
                <c:pt idx="11">
                  <c:v>어드벤처</c:v>
                </c:pt>
                <c:pt idx="12">
                  <c:v>블러드</c:v>
                </c:pt>
                <c:pt idx="13">
                  <c:v>퍼즐</c:v>
                </c:pt>
                <c:pt idx="14">
                  <c:v>병맛</c:v>
                </c:pt>
                <c:pt idx="15">
                  <c:v>기타</c:v>
                </c:pt>
                <c:pt idx="16">
                  <c:v>오펜스</c:v>
                </c:pt>
                <c:pt idx="17">
                  <c:v>공포</c:v>
                </c:pt>
                <c:pt idx="18">
                  <c:v>탈출</c:v>
                </c:pt>
                <c:pt idx="19">
                  <c:v>밀리기반</c:v>
                </c:pt>
                <c:pt idx="20">
                  <c:v>리듬게임</c:v>
                </c:pt>
                <c:pt idx="21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'2024.08'!$B$2:$B$27</c15:sqref>
                  </c15:fullRef>
                </c:ext>
              </c:extLst>
              <c:f>'2024.08'!$B$3:$B$24</c:f>
              <c:numCache>
                <c:formatCode>General</c:formatCode>
                <c:ptCount val="22"/>
                <c:pt idx="0">
                  <c:v>15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'2024.08'!$B$2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'2024.08'!$B$25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'2024.08'!$B$27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2-E742-4AA8-87A9-5D0AAFCB19A8}"/>
            </c:ext>
          </c:extLst>
        </c:ser>
        <c:ser>
          <c:idx val="0"/>
          <c:order val="1"/>
          <c:tx>
            <c:strRef>
              <c:f>'2024.08'!$B$1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E742-4AA8-87A9-5D0AAFCB19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E742-4AA8-87A9-5D0AAFCB19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E742-4AA8-87A9-5D0AAFCB19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E742-4AA8-87A9-5D0AAFCB19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E742-4AA8-87A9-5D0AAFCB19A8}"/>
              </c:ext>
            </c:extLst>
          </c:dPt>
          <c:dPt>
            <c:idx val="5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E742-4AA8-87A9-5D0AAFCB19A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E742-4AA8-87A9-5D0AAFCB19A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E742-4AA8-87A9-5D0AAFCB19A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E742-4AA8-87A9-5D0AAFCB19A8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E742-4AA8-87A9-5D0AAFCB19A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E742-4AA8-87A9-5D0AAFCB19A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E742-4AA8-87A9-5D0AAFCB19A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E742-4AA8-87A9-5D0AAFCB19A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E742-4AA8-87A9-5D0AAFCB19A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E742-4AA8-87A9-5D0AAFCB19A8}"/>
              </c:ext>
            </c:extLst>
          </c:dPt>
          <c:dPt>
            <c:idx val="15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E742-4AA8-87A9-5D0AAFCB19A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E742-4AA8-87A9-5D0AAFCB19A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6-E742-4AA8-87A9-5D0AAFCB19A8}"/>
              </c:ext>
            </c:extLst>
          </c:dPt>
          <c:dPt>
            <c:idx val="18"/>
            <c:bubble3D val="0"/>
            <c:spPr>
              <a:solidFill>
                <a:schemeClr val="accent4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8-E742-4AA8-87A9-5D0AAFCB19A8}"/>
              </c:ext>
            </c:extLst>
          </c:dPt>
          <c:dPt>
            <c:idx val="19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A-E742-4AA8-87A9-5D0AAFCB19A8}"/>
              </c:ext>
            </c:extLst>
          </c:dPt>
          <c:dPt>
            <c:idx val="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C-E742-4AA8-87A9-5D0AAFCB19A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7-BD30-43FA-B99F-488F10B9E0CF}"/>
              </c:ext>
            </c:extLst>
          </c:dPt>
          <c:dLbls>
            <c:dLbl>
              <c:idx val="2"/>
              <c:layout>
                <c:manualLayout>
                  <c:x val="-1.5214764821064033E-3"/>
                  <c:y val="-1.3207090027095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742-4AA8-87A9-5D0AAFCB19A8}"/>
                </c:ext>
              </c:extLst>
            </c:dLbl>
            <c:dLbl>
              <c:idx val="5"/>
              <c:layout>
                <c:manualLayout>
                  <c:x val="1.0651691237508177E-3"/>
                  <c:y val="-3.54919166947962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742-4AA8-87A9-5D0AAFCB19A8}"/>
                </c:ext>
              </c:extLst>
            </c:dLbl>
            <c:dLbl>
              <c:idx val="8"/>
              <c:layout>
                <c:manualLayout>
                  <c:x val="-4.5497122336865944E-3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742-4AA8-87A9-5D0AAFCB19A8}"/>
                </c:ext>
              </c:extLst>
            </c:dLbl>
            <c:dLbl>
              <c:idx val="9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6-E742-4AA8-87A9-5D0AAFCB19A8}"/>
                </c:ext>
              </c:extLst>
            </c:dLbl>
            <c:dLbl>
              <c:idx val="10"/>
              <c:layout>
                <c:manualLayout>
                  <c:x val="3.03314148912439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742-4AA8-87A9-5D0AAFCB19A8}"/>
                </c:ext>
              </c:extLst>
            </c:dLbl>
            <c:dLbl>
              <c:idx val="11"/>
              <c:layout>
                <c:manualLayout>
                  <c:x val="-1.5165707445622539E-3"/>
                  <c:y val="-4.026050342113867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742-4AA8-87A9-5D0AAFCB19A8}"/>
                </c:ext>
              </c:extLst>
            </c:dLbl>
            <c:dLbl>
              <c:idx val="13"/>
              <c:layout>
                <c:manualLayout>
                  <c:x val="-8.6011991865076048E-2"/>
                  <c:y val="-6.84606461138257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742-4AA8-87A9-5D0AAFCB19A8}"/>
                </c:ext>
              </c:extLst>
            </c:dLbl>
            <c:dLbl>
              <c:idx val="15"/>
              <c:layout>
                <c:manualLayout>
                  <c:x val="-9.5036769434269072E-2"/>
                  <c:y val="-5.749711681118260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742-4AA8-87A9-5D0AAFCB19A8}"/>
                </c:ext>
              </c:extLst>
            </c:dLbl>
            <c:dLbl>
              <c:idx val="16"/>
              <c:layout>
                <c:manualLayout>
                  <c:x val="-8.6035462095045243E-2"/>
                  <c:y val="-8.191125665526381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742-4AA8-87A9-5D0AAFCB19A8}"/>
                </c:ext>
              </c:extLst>
            </c:dLbl>
            <c:dLbl>
              <c:idx val="18"/>
              <c:layout>
                <c:manualLayout>
                  <c:x val="-7.6785820756905487E-2"/>
                  <c:y val="-9.492626533130095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E742-4AA8-87A9-5D0AAFCB19A8}"/>
                </c:ext>
              </c:extLst>
            </c:dLbl>
            <c:dLbl>
              <c:idx val="19"/>
              <c:layout>
                <c:manualLayout>
                  <c:x val="-6.6515461488138222E-2"/>
                  <c:y val="-0.1167062527185410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E742-4AA8-87A9-5D0AAFCB19A8}"/>
                </c:ext>
              </c:extLst>
            </c:dLbl>
            <c:dLbl>
              <c:idx val="20"/>
              <c:layout>
                <c:manualLayout>
                  <c:x val="-4.5497122336865944E-3"/>
                  <c:y val="-0.1127294095791889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E742-4AA8-87A9-5D0AAFCB19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'2024.08'!$A$2:$A$27</c15:sqref>
                  </c15:fullRef>
                </c:ext>
              </c:extLst>
              <c:f>'2024.08'!$A$3:$A$24</c:f>
              <c:strCache>
                <c:ptCount val="22"/>
                <c:pt idx="0">
                  <c:v>대전</c:v>
                </c:pt>
                <c:pt idx="1">
                  <c:v>컴까기</c:v>
                </c:pt>
                <c:pt idx="2">
                  <c:v>키우기</c:v>
                </c:pt>
                <c:pt idx="3">
                  <c:v>디펜스</c:v>
                </c:pt>
                <c:pt idx="4">
                  <c:v>RPG</c:v>
                </c:pt>
                <c:pt idx="5">
                  <c:v>호환요청</c:v>
                </c:pt>
                <c:pt idx="6">
                  <c:v>캠페인</c:v>
                </c:pt>
                <c:pt idx="7">
                  <c:v>미니게임</c:v>
                </c:pt>
                <c:pt idx="8">
                  <c:v>디플로메시</c:v>
                </c:pt>
                <c:pt idx="9">
                  <c:v>서바이벌</c:v>
                </c:pt>
                <c:pt idx="10">
                  <c:v>컨트롤</c:v>
                </c:pt>
                <c:pt idx="11">
                  <c:v>어드벤처</c:v>
                </c:pt>
                <c:pt idx="12">
                  <c:v>블러드</c:v>
                </c:pt>
                <c:pt idx="13">
                  <c:v>퍼즐</c:v>
                </c:pt>
                <c:pt idx="14">
                  <c:v>병맛</c:v>
                </c:pt>
                <c:pt idx="15">
                  <c:v>기타</c:v>
                </c:pt>
                <c:pt idx="16">
                  <c:v>오펜스</c:v>
                </c:pt>
                <c:pt idx="17">
                  <c:v>공포</c:v>
                </c:pt>
                <c:pt idx="18">
                  <c:v>탈출</c:v>
                </c:pt>
                <c:pt idx="19">
                  <c:v>밀리기반</c:v>
                </c:pt>
                <c:pt idx="20">
                  <c:v>리듬게임</c:v>
                </c:pt>
                <c:pt idx="21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'2024.08'!$B$2:$B$27</c15:sqref>
                  </c15:fullRef>
                </c:ext>
              </c:extLst>
              <c:f>'2024.08'!$B$3:$B$24</c:f>
              <c:numCache>
                <c:formatCode>General</c:formatCode>
                <c:ptCount val="22"/>
                <c:pt idx="0">
                  <c:v>15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'2024.08'!$B$2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'2024.08'!$B$25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21"/>
                    <c:layout>
                      <c:manualLayout>
                        <c:x val="-2.2675736961451302E-2"/>
                        <c:y val="-8.861621407272714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7584-4D47-AD26-F2EBA89FC0DC}"/>
                      </c:ext>
                    </c:extLst>
                  </c15:dLbl>
                </c15:categoryFilterException>
                <c15:categoryFilterException>
                  <c15:sqref>'2024.08'!$B$27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21"/>
                    <c:layout>
                      <c:manualLayout>
                        <c:x val="5.5428938919270718E-17"/>
                        <c:y val="-9.5432845924475387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7584-4D47-AD26-F2EBA89FC0D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5-E742-4AA8-87A9-5D0AAFCB1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'2024.09'!$B$1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6B5-4E21-8510-6D2D70E611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6B5-4E21-8510-6D2D70E611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6B5-4E21-8510-6D2D70E611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6B5-4E21-8510-6D2D70E611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6B5-4E21-8510-6D2D70E6118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6B5-4E21-8510-6D2D70E6118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6B5-4E21-8510-6D2D70E6118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6B5-4E21-8510-6D2D70E6118C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6B5-4E21-8510-6D2D70E6118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6B5-4E21-8510-6D2D70E6118C}"/>
              </c:ext>
            </c:extLst>
          </c:dPt>
          <c:dPt>
            <c:idx val="10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6B5-4E21-8510-6D2D70E6118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6B5-4E21-8510-6D2D70E6118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6B5-4E21-8510-6D2D70E6118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6B5-4E21-8510-6D2D70E6118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6B5-4E21-8510-6D2D70E6118C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6B5-4E21-8510-6D2D70E6118C}"/>
              </c:ext>
            </c:extLst>
          </c:dPt>
          <c:dPt>
            <c:idx val="16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6B5-4E21-8510-6D2D70E6118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6B5-4E21-8510-6D2D70E6118C}"/>
              </c:ext>
            </c:extLst>
          </c:dPt>
          <c:dPt>
            <c:idx val="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6B5-4E21-8510-6D2D70E611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'2024.09'!$A$2:$A$28</c15:sqref>
                  </c15:fullRef>
                </c:ext>
              </c:extLst>
              <c:f>'2024.09'!$A$2:$A$20</c:f>
              <c:strCache>
                <c:ptCount val="19"/>
                <c:pt idx="0">
                  <c:v>맞히기</c:v>
                </c:pt>
                <c:pt idx="1">
                  <c:v>디펜스</c:v>
                </c:pt>
                <c:pt idx="2">
                  <c:v>컴까기</c:v>
                </c:pt>
                <c:pt idx="3">
                  <c:v>대전</c:v>
                </c:pt>
                <c:pt idx="4">
                  <c:v>캠페인</c:v>
                </c:pt>
                <c:pt idx="5">
                  <c:v>컨트롤</c:v>
                </c:pt>
                <c:pt idx="6">
                  <c:v>키우기</c:v>
                </c:pt>
                <c:pt idx="7">
                  <c:v>디플로메시</c:v>
                </c:pt>
                <c:pt idx="8">
                  <c:v>호환요청</c:v>
                </c:pt>
                <c:pt idx="9">
                  <c:v>미니게임</c:v>
                </c:pt>
                <c:pt idx="10">
                  <c:v>서바이벌</c:v>
                </c:pt>
                <c:pt idx="11">
                  <c:v>RPG</c:v>
                </c:pt>
                <c:pt idx="12">
                  <c:v>밀리기반</c:v>
                </c:pt>
                <c:pt idx="13">
                  <c:v>블러드</c:v>
                </c:pt>
                <c:pt idx="14">
                  <c:v>공포</c:v>
                </c:pt>
                <c:pt idx="15">
                  <c:v>어드벤처</c:v>
                </c:pt>
                <c:pt idx="16">
                  <c:v>퍼즐</c:v>
                </c:pt>
                <c:pt idx="17">
                  <c:v>오펜스</c:v>
                </c:pt>
                <c:pt idx="18">
                  <c:v>리듬게임</c:v>
                </c:pt>
                <c:pt idx="19">
                  <c:v>레이싱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'2024.09'!$B$2:$B$27</c15:sqref>
                  </c15:fullRef>
                </c:ext>
              </c:extLst>
              <c:f>'2024.09'!$B$2:$B$20</c:f>
              <c:numCache>
                <c:formatCode>General</c:formatCode>
                <c:ptCount val="19"/>
                <c:pt idx="0">
                  <c:v>58</c:v>
                </c:pt>
                <c:pt idx="1">
                  <c:v>20</c:v>
                </c:pt>
                <c:pt idx="2">
                  <c:v>13</c:v>
                </c:pt>
                <c:pt idx="3">
                  <c:v>12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'2024.09'!$B$21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'2024.09'!$B$22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'2024.09'!$B$23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'2024.09'!$B$24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'2024.09'!$B$25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'2024.09'!$B$27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E-B6B5-4E21-8510-6D2D70E6118C}"/>
            </c:ext>
          </c:extLst>
        </c:ser>
        <c:ser>
          <c:idx val="0"/>
          <c:order val="1"/>
          <c:tx>
            <c:strRef>
              <c:f>'2024.09'!$B$1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B6B5-4E21-8510-6D2D70E611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B6B5-4E21-8510-6D2D70E611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B6B5-4E21-8510-6D2D70E611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B6B5-4E21-8510-6D2D70E611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B6B5-4E21-8510-6D2D70E6118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B6B5-4E21-8510-6D2D70E6118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B6B5-4E21-8510-6D2D70E6118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B6B5-4E21-8510-6D2D70E6118C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B6B5-4E21-8510-6D2D70E6118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B6B5-4E21-8510-6D2D70E6118C}"/>
              </c:ext>
            </c:extLst>
          </c:dPt>
          <c:dPt>
            <c:idx val="10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B6B5-4E21-8510-6D2D70E6118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B6B5-4E21-8510-6D2D70E6118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B6B5-4E21-8510-6D2D70E6118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A-B6B5-4E21-8510-6D2D70E6118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C-B6B5-4E21-8510-6D2D70E6118C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E-B6B5-4E21-8510-6D2D70E6118C}"/>
              </c:ext>
            </c:extLst>
          </c:dPt>
          <c:dPt>
            <c:idx val="16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0-B6B5-4E21-8510-6D2D70E6118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2-B6B5-4E21-8510-6D2D70E6118C}"/>
              </c:ext>
            </c:extLst>
          </c:dPt>
          <c:dPt>
            <c:idx val="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4-B6B5-4E21-8510-6D2D70E6118C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6B5-4E21-8510-6D2D70E6118C}"/>
                </c:ext>
              </c:extLst>
            </c:dLbl>
            <c:dLbl>
              <c:idx val="6"/>
              <c:layout>
                <c:manualLayout>
                  <c:x val="-3.0331922795364865E-3"/>
                  <c:y val="4.261736763996383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B6B5-4E21-8510-6D2D70E6118C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B6B5-4E21-8510-6D2D70E6118C}"/>
                </c:ext>
              </c:extLst>
            </c:dLbl>
            <c:dLbl>
              <c:idx val="8"/>
              <c:layout>
                <c:manualLayout>
                  <c:x val="-3.0416436040733002E-3"/>
                  <c:y val="1.932810338436646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B6B5-4E21-8510-6D2D70E6118C}"/>
                </c:ext>
              </c:extLst>
            </c:dLbl>
            <c:dLbl>
              <c:idx val="10"/>
              <c:layout>
                <c:manualLayout>
                  <c:x val="-3.3097648508222462E-3"/>
                  <c:y val="5.8623033925034871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213650665213309E-2"/>
                      <c:h val="2.6153370961229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4-B6B5-4E21-8510-6D2D70E6118C}"/>
                </c:ext>
              </c:extLst>
            </c:dLbl>
            <c:dLbl>
              <c:idx val="12"/>
              <c:layout>
                <c:manualLayout>
                  <c:x val="-0.10578403889989942"/>
                  <c:y val="-8.469584564397365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B6B5-4E21-8510-6D2D70E6118C}"/>
                </c:ext>
              </c:extLst>
            </c:dLbl>
            <c:dLbl>
              <c:idx val="14"/>
              <c:layout>
                <c:manualLayout>
                  <c:x val="-5.1478208081132716E-2"/>
                  <c:y val="-6.560154736469549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B6B5-4E21-8510-6D2D70E6118C}"/>
                </c:ext>
              </c:extLst>
            </c:dLbl>
            <c:dLbl>
              <c:idx val="15"/>
              <c:layout>
                <c:manualLayout>
                  <c:x val="-8.7679516250944819E-2"/>
                  <c:y val="-9.27061931837760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B6B5-4E21-8510-6D2D70E6118C}"/>
                </c:ext>
              </c:extLst>
            </c:dLbl>
            <c:dLbl>
              <c:idx val="16"/>
              <c:layout>
                <c:manualLayout>
                  <c:x val="-1.3976824325530792E-2"/>
                  <c:y val="-0.1277404604457690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B6B5-4E21-8510-6D2D70E6118C}"/>
                </c:ext>
              </c:extLst>
            </c:dLbl>
            <c:dLbl>
              <c:idx val="17"/>
              <c:layout>
                <c:manualLayout>
                  <c:x val="-3.1341320430184876E-3"/>
                  <c:y val="-8.719889139022898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B6B5-4E21-8510-6D2D70E6118C}"/>
                </c:ext>
              </c:extLst>
            </c:dLbl>
            <c:dLbl>
              <c:idx val="18"/>
              <c:layout>
                <c:manualLayout>
                  <c:x val="4.5393254414626744E-2"/>
                  <c:y val="-9.799257169620666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B6B5-4E21-8510-6D2D70E611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'2024.09'!$A$2:$A$28</c15:sqref>
                  </c15:fullRef>
                </c:ext>
              </c:extLst>
              <c:f>'2024.09'!$A$2:$A$20</c:f>
              <c:strCache>
                <c:ptCount val="19"/>
                <c:pt idx="0">
                  <c:v>맞히기</c:v>
                </c:pt>
                <c:pt idx="1">
                  <c:v>디펜스</c:v>
                </c:pt>
                <c:pt idx="2">
                  <c:v>컴까기</c:v>
                </c:pt>
                <c:pt idx="3">
                  <c:v>대전</c:v>
                </c:pt>
                <c:pt idx="4">
                  <c:v>캠페인</c:v>
                </c:pt>
                <c:pt idx="5">
                  <c:v>컨트롤</c:v>
                </c:pt>
                <c:pt idx="6">
                  <c:v>키우기</c:v>
                </c:pt>
                <c:pt idx="7">
                  <c:v>디플로메시</c:v>
                </c:pt>
                <c:pt idx="8">
                  <c:v>호환요청</c:v>
                </c:pt>
                <c:pt idx="9">
                  <c:v>미니게임</c:v>
                </c:pt>
                <c:pt idx="10">
                  <c:v>서바이벌</c:v>
                </c:pt>
                <c:pt idx="11">
                  <c:v>RPG</c:v>
                </c:pt>
                <c:pt idx="12">
                  <c:v>밀리기반</c:v>
                </c:pt>
                <c:pt idx="13">
                  <c:v>블러드</c:v>
                </c:pt>
                <c:pt idx="14">
                  <c:v>공포</c:v>
                </c:pt>
                <c:pt idx="15">
                  <c:v>어드벤처</c:v>
                </c:pt>
                <c:pt idx="16">
                  <c:v>퍼즐</c:v>
                </c:pt>
                <c:pt idx="17">
                  <c:v>오펜스</c:v>
                </c:pt>
                <c:pt idx="18">
                  <c:v>리듬게임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'2024.09'!$B$2:$B$28</c15:sqref>
                  </c15:fullRef>
                </c:ext>
              </c:extLst>
              <c:f>'2024.09'!$B$2:$B$20</c:f>
              <c:numCache>
                <c:formatCode>General</c:formatCode>
                <c:ptCount val="19"/>
                <c:pt idx="0">
                  <c:v>58</c:v>
                </c:pt>
                <c:pt idx="1">
                  <c:v>20</c:v>
                </c:pt>
                <c:pt idx="2">
                  <c:v>13</c:v>
                </c:pt>
                <c:pt idx="3">
                  <c:v>12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'2024.09'!$B$21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'2024.09'!$B$22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-7.2817256528800986E-2"/>
                        <c:y val="-7.3865299861903141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E6B2-443A-82C5-DDC125ECD757}"/>
                      </c:ext>
                    </c:extLst>
                  </c15:dLbl>
                </c15:categoryFilterException>
                <c15:categoryFilterException>
                  <c15:sqref>'2024.09'!$B$23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-9.1186562823649935E-3"/>
                        <c:y val="-8.9363735368772165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E6B2-443A-82C5-DDC125ECD757}"/>
                      </c:ext>
                    </c:extLst>
                  </c15:dLbl>
                </c15:categoryFilterException>
                <c15:categoryFilterException>
                  <c15:sqref>'2024.09'!$B$24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4.6943027595155319E-2"/>
                        <c:y val="-8.5004270725107786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F-E6B2-443A-82C5-DDC125ECD757}"/>
                      </c:ext>
                    </c:extLst>
                  </c15:dLbl>
                </c15:categoryFilterException>
                <c15:categoryFilterException>
                  <c15:sqref>'2024.09'!$B$25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-1.5060974521042068E-2"/>
                        <c:y val="-8.542688915437374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E6B2-443A-82C5-DDC125ECD757}"/>
                      </c:ext>
                    </c:extLst>
                  </c15:dLbl>
                </c15:categoryFilterException>
                <c15:categoryFilterException>
                  <c15:sqref>'2024.09'!$B$27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4.5286619729442753E-3"/>
                        <c:y val="-8.412782343456701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E6B2-443A-82C5-DDC125ECD75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D-B6B5-4E21-8510-6D2D70E61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'2024.09'!$B$1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E1-46EB-9072-7AC5FCA138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E1-46EB-9072-7AC5FCA138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E1-46EB-9072-7AC5FCA138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E1-46EB-9072-7AC5FCA138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E1-46EB-9072-7AC5FCA138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E1-46EB-9072-7AC5FCA138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9E1-46EB-9072-7AC5FCA138C7}"/>
              </c:ext>
            </c:extLst>
          </c:dPt>
          <c:dPt>
            <c:idx val="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9E1-46EB-9072-7AC5FCA138C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9E1-46EB-9072-7AC5FCA138C7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9E1-46EB-9072-7AC5FCA138C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9E1-46EB-9072-7AC5FCA138C7}"/>
              </c:ext>
            </c:extLst>
          </c:dPt>
          <c:dPt>
            <c:idx val="11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9E1-46EB-9072-7AC5FCA138C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9E1-46EB-9072-7AC5FCA138C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9E1-46EB-9072-7AC5FCA138C7}"/>
              </c:ext>
            </c:extLst>
          </c:dPt>
          <c:dPt>
            <c:idx val="1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9E1-46EB-9072-7AC5FCA138C7}"/>
              </c:ext>
            </c:extLst>
          </c:dPt>
          <c:dPt>
            <c:idx val="1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9E1-46EB-9072-7AC5FCA138C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D9E1-46EB-9072-7AC5FCA138C7}"/>
              </c:ext>
            </c:extLst>
          </c:dPt>
          <c:dPt>
            <c:idx val="1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D9E1-46EB-9072-7AC5FCA138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'2024.09'!$A$2:$A$27</c15:sqref>
                  </c15:fullRef>
                </c:ext>
              </c:extLst>
              <c:f>'2024.09'!$A$3:$A$20</c:f>
              <c:strCache>
                <c:ptCount val="18"/>
                <c:pt idx="0">
                  <c:v>디펜스</c:v>
                </c:pt>
                <c:pt idx="1">
                  <c:v>컴까기</c:v>
                </c:pt>
                <c:pt idx="2">
                  <c:v>대전</c:v>
                </c:pt>
                <c:pt idx="3">
                  <c:v>캠페인</c:v>
                </c:pt>
                <c:pt idx="4">
                  <c:v>컨트롤</c:v>
                </c:pt>
                <c:pt idx="5">
                  <c:v>키우기</c:v>
                </c:pt>
                <c:pt idx="6">
                  <c:v>디플로메시</c:v>
                </c:pt>
                <c:pt idx="7">
                  <c:v>호환요청</c:v>
                </c:pt>
                <c:pt idx="8">
                  <c:v>미니게임</c:v>
                </c:pt>
                <c:pt idx="9">
                  <c:v>서바이벌</c:v>
                </c:pt>
                <c:pt idx="10">
                  <c:v>RPG</c:v>
                </c:pt>
                <c:pt idx="11">
                  <c:v>밀리기반</c:v>
                </c:pt>
                <c:pt idx="12">
                  <c:v>블러드</c:v>
                </c:pt>
                <c:pt idx="13">
                  <c:v>공포</c:v>
                </c:pt>
                <c:pt idx="14">
                  <c:v>어드벤처</c:v>
                </c:pt>
                <c:pt idx="15">
                  <c:v>퍼즐</c:v>
                </c:pt>
                <c:pt idx="16">
                  <c:v>오펜스</c:v>
                </c:pt>
                <c:pt idx="17">
                  <c:v>리듬게임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'2024.09'!$B$2:$B$27</c15:sqref>
                  </c15:fullRef>
                </c:ext>
              </c:extLst>
              <c:f>'2024.09'!$B$3:$B$20</c:f>
              <c:numCache>
                <c:formatCode>General</c:formatCode>
                <c:ptCount val="18"/>
                <c:pt idx="0">
                  <c:v>20</c:v>
                </c:pt>
                <c:pt idx="1">
                  <c:v>13</c:v>
                </c:pt>
                <c:pt idx="2">
                  <c:v>12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'2024.09'!$B$2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'2024.09'!$B$21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'2024.09'!$B$22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'2024.09'!$B$23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'2024.09'!$B$24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'2024.09'!$B$25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'2024.09'!$B$27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C-D9E1-46EB-9072-7AC5FCA138C7}"/>
            </c:ext>
          </c:extLst>
        </c:ser>
        <c:ser>
          <c:idx val="0"/>
          <c:order val="1"/>
          <c:tx>
            <c:strRef>
              <c:f>'2024.09'!$B$1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D9E1-46EB-9072-7AC5FCA138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D9E1-46EB-9072-7AC5FCA138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D9E1-46EB-9072-7AC5FCA138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D9E1-46EB-9072-7AC5FCA138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D9E1-46EB-9072-7AC5FCA138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D9E1-46EB-9072-7AC5FCA138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D9E1-46EB-9072-7AC5FCA138C7}"/>
              </c:ext>
            </c:extLst>
          </c:dPt>
          <c:dPt>
            <c:idx val="7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D9E1-46EB-9072-7AC5FCA138C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D9E1-46EB-9072-7AC5FCA138C7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D9E1-46EB-9072-7AC5FCA138C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D9E1-46EB-9072-7AC5FCA138C7}"/>
              </c:ext>
            </c:extLst>
          </c:dPt>
          <c:dPt>
            <c:idx val="11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D9E1-46EB-9072-7AC5FCA138C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D9E1-46EB-9072-7AC5FCA138C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D9E1-46EB-9072-7AC5FCA138C7}"/>
              </c:ext>
            </c:extLst>
          </c:dPt>
          <c:dPt>
            <c:idx val="1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A-D9E1-46EB-9072-7AC5FCA138C7}"/>
              </c:ext>
            </c:extLst>
          </c:dPt>
          <c:dPt>
            <c:idx val="15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C-D9E1-46EB-9072-7AC5FCA138C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E-D9E1-46EB-9072-7AC5FCA138C7}"/>
              </c:ext>
            </c:extLst>
          </c:dPt>
          <c:dPt>
            <c:idx val="1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0-D9E1-46EB-9072-7AC5FCA138C7}"/>
              </c:ext>
            </c:extLst>
          </c:dPt>
          <c:dLbls>
            <c:dLbl>
              <c:idx val="4"/>
              <c:layout>
                <c:manualLayout>
                  <c:x val="3.03314148912439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D9E1-46EB-9072-7AC5FCA138C7}"/>
                </c:ext>
              </c:extLst>
            </c:dLbl>
            <c:dLbl>
              <c:idx val="5"/>
              <c:layout>
                <c:manualLayout>
                  <c:x val="-1.5214764821064033E-3"/>
                  <c:y val="-1.3207090027095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D9E1-46EB-9072-7AC5FCA138C7}"/>
                </c:ext>
              </c:extLst>
            </c:dLbl>
            <c:dLbl>
              <c:idx val="6"/>
              <c:layout>
                <c:manualLayout>
                  <c:x val="-4.5497122336865944E-3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D9E1-46EB-9072-7AC5FCA138C7}"/>
                </c:ext>
              </c:extLst>
            </c:dLbl>
            <c:dLbl>
              <c:idx val="7"/>
              <c:layout>
                <c:manualLayout>
                  <c:x val="1.0651691237508177E-3"/>
                  <c:y val="-3.54919166947962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D9E1-46EB-9072-7AC5FCA138C7}"/>
                </c:ext>
              </c:extLst>
            </c:dLbl>
            <c:dLbl>
              <c:idx val="9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0-D9E1-46EB-9072-7AC5FCA138C7}"/>
                </c:ext>
              </c:extLst>
            </c:dLbl>
            <c:dLbl>
              <c:idx val="11"/>
              <c:layout>
                <c:manualLayout>
                  <c:x val="-3.0234315948601941E-3"/>
                  <c:y val="-2.186796967747455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D9E1-46EB-9072-7AC5FCA138C7}"/>
                </c:ext>
              </c:extLst>
            </c:dLbl>
            <c:dLbl>
              <c:idx val="14"/>
              <c:layout>
                <c:manualLayout>
                  <c:x val="-6.9543807024121981E-2"/>
                  <c:y val="-6.673901242140613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D9E1-46EB-9072-7AC5FCA138C7}"/>
                </c:ext>
              </c:extLst>
            </c:dLbl>
            <c:dLbl>
              <c:idx val="15"/>
              <c:layout>
                <c:manualLayout>
                  <c:x val="-6.7871397027752481E-2"/>
                  <c:y val="-9.981717471328013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D9E1-46EB-9072-7AC5FCA138C7}"/>
                </c:ext>
              </c:extLst>
            </c:dLbl>
            <c:dLbl>
              <c:idx val="16"/>
              <c:layout>
                <c:manualLayout>
                  <c:x val="-1.3473077770040705E-2"/>
                  <c:y val="-9.2817835658198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D9E1-46EB-9072-7AC5FCA138C7}"/>
                </c:ext>
              </c:extLst>
            </c:dLbl>
            <c:dLbl>
              <c:idx val="17"/>
              <c:layout>
                <c:manualLayout>
                  <c:x val="-4.5497122336865944E-3"/>
                  <c:y val="-0.1127294095791889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D9E1-46EB-9072-7AC5FCA138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'2024.09'!$A$2:$A$27</c15:sqref>
                  </c15:fullRef>
                </c:ext>
              </c:extLst>
              <c:f>'2024.09'!$A$3:$A$20</c:f>
              <c:strCache>
                <c:ptCount val="18"/>
                <c:pt idx="0">
                  <c:v>디펜스</c:v>
                </c:pt>
                <c:pt idx="1">
                  <c:v>컴까기</c:v>
                </c:pt>
                <c:pt idx="2">
                  <c:v>대전</c:v>
                </c:pt>
                <c:pt idx="3">
                  <c:v>캠페인</c:v>
                </c:pt>
                <c:pt idx="4">
                  <c:v>컨트롤</c:v>
                </c:pt>
                <c:pt idx="5">
                  <c:v>키우기</c:v>
                </c:pt>
                <c:pt idx="6">
                  <c:v>디플로메시</c:v>
                </c:pt>
                <c:pt idx="7">
                  <c:v>호환요청</c:v>
                </c:pt>
                <c:pt idx="8">
                  <c:v>미니게임</c:v>
                </c:pt>
                <c:pt idx="9">
                  <c:v>서바이벌</c:v>
                </c:pt>
                <c:pt idx="10">
                  <c:v>RPG</c:v>
                </c:pt>
                <c:pt idx="11">
                  <c:v>밀리기반</c:v>
                </c:pt>
                <c:pt idx="12">
                  <c:v>블러드</c:v>
                </c:pt>
                <c:pt idx="13">
                  <c:v>공포</c:v>
                </c:pt>
                <c:pt idx="14">
                  <c:v>어드벤처</c:v>
                </c:pt>
                <c:pt idx="15">
                  <c:v>퍼즐</c:v>
                </c:pt>
                <c:pt idx="16">
                  <c:v>오펜스</c:v>
                </c:pt>
                <c:pt idx="17">
                  <c:v>리듬게임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'2024.09'!$B$2:$B$27</c15:sqref>
                  </c15:fullRef>
                </c:ext>
              </c:extLst>
              <c:f>'2024.09'!$B$3:$B$20</c:f>
              <c:numCache>
                <c:formatCode>General</c:formatCode>
                <c:ptCount val="18"/>
                <c:pt idx="0">
                  <c:v>20</c:v>
                </c:pt>
                <c:pt idx="1">
                  <c:v>13</c:v>
                </c:pt>
                <c:pt idx="2">
                  <c:v>12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'2024.09'!$B$2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'2024.09'!$B$21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'2024.09'!$B$22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9.5036769434269072E-2"/>
                        <c:y val="-5.7497116811182601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8880-4F1D-B736-B6202783B082}"/>
                      </c:ext>
                    </c:extLst>
                  </c15:dLbl>
                </c15:categoryFilterException>
                <c15:categoryFilterException>
                  <c15:sqref>'2024.09'!$B$23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7.6785820756905487E-2"/>
                        <c:y val="-9.4926265331300955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8880-4F1D-B736-B6202783B082}"/>
                      </c:ext>
                    </c:extLst>
                  </c15:dLbl>
                </c15:categoryFilterException>
                <c15:categoryFilterException>
                  <c15:sqref>'2024.09'!$B$24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'2024.09'!$B$25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2.2675736961451302E-2"/>
                        <c:y val="-8.861621407272714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8880-4F1D-B736-B6202783B082}"/>
                      </c:ext>
                    </c:extLst>
                  </c15:dLbl>
                </c15:categoryFilterException>
                <c15:categoryFilterException>
                  <c15:sqref>'2024.09'!$B$27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5.5428938919270718E-17"/>
                        <c:y val="-9.5432845924475387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8880-4F1D-B736-B6202783B08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9-D9E1-46EB-9072-7AC5FCA13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'2024.10'!$B$1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5E-41FA-B8FF-AA8281E8B4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5E-41FA-B8FF-AA8281E8B4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45E-41FA-B8FF-AA8281E8B4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45E-41FA-B8FF-AA8281E8B4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45E-41FA-B8FF-AA8281E8B4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45E-41FA-B8FF-AA8281E8B47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45E-41FA-B8FF-AA8281E8B47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45E-41FA-B8FF-AA8281E8B477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45E-41FA-B8FF-AA8281E8B47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45E-41FA-B8FF-AA8281E8B477}"/>
              </c:ext>
            </c:extLst>
          </c:dPt>
          <c:dPt>
            <c:idx val="10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45E-41FA-B8FF-AA8281E8B47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45E-41FA-B8FF-AA8281E8B47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45E-41FA-B8FF-AA8281E8B47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45E-41FA-B8FF-AA8281E8B47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45E-41FA-B8FF-AA8281E8B477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45E-41FA-B8FF-AA8281E8B4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'2024.10'!$A$2:$A$28</c15:sqref>
                  </c15:fullRef>
                </c:ext>
              </c:extLst>
              <c:f>'2024.10'!$A$2:$A$17</c:f>
              <c:strCache>
                <c:ptCount val="16"/>
                <c:pt idx="0">
                  <c:v>맞히기</c:v>
                </c:pt>
                <c:pt idx="1">
                  <c:v>컴까기</c:v>
                </c:pt>
                <c:pt idx="2">
                  <c:v>대전</c:v>
                </c:pt>
                <c:pt idx="3">
                  <c:v>디펜스</c:v>
                </c:pt>
                <c:pt idx="4">
                  <c:v>캠페인</c:v>
                </c:pt>
                <c:pt idx="5">
                  <c:v>디플로메시</c:v>
                </c:pt>
                <c:pt idx="6">
                  <c:v>호환요청</c:v>
                </c:pt>
                <c:pt idx="7">
                  <c:v>컨트롤</c:v>
                </c:pt>
                <c:pt idx="8">
                  <c:v>키우기</c:v>
                </c:pt>
                <c:pt idx="9">
                  <c:v>서바이벌</c:v>
                </c:pt>
                <c:pt idx="10">
                  <c:v>RPG</c:v>
                </c:pt>
                <c:pt idx="11">
                  <c:v>오펜스</c:v>
                </c:pt>
                <c:pt idx="12">
                  <c:v>미니게임</c:v>
                </c:pt>
                <c:pt idx="13">
                  <c:v>밀리기반</c:v>
                </c:pt>
                <c:pt idx="14">
                  <c:v>블러드</c:v>
                </c:pt>
                <c:pt idx="15">
                  <c:v>리듬게임</c:v>
                </c:pt>
                <c:pt idx="16">
                  <c:v>레이싱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'2024.10'!$B$2:$B$27</c15:sqref>
                  </c15:fullRef>
                </c:ext>
              </c:extLst>
              <c:f>'2024.10'!$B$2:$B$17</c:f>
              <c:numCache>
                <c:formatCode>General</c:formatCode>
                <c:ptCount val="16"/>
                <c:pt idx="0">
                  <c:v>60</c:v>
                </c:pt>
                <c:pt idx="1">
                  <c:v>15</c:v>
                </c:pt>
                <c:pt idx="2">
                  <c:v>14</c:v>
                </c:pt>
                <c:pt idx="3">
                  <c:v>11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'2024.10'!$B$18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'2024.10'!$B$20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'2024.10'!$B$24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6-545E-41FA-B8FF-AA8281E8B477}"/>
            </c:ext>
          </c:extLst>
        </c:ser>
        <c:ser>
          <c:idx val="0"/>
          <c:order val="1"/>
          <c:tx>
            <c:strRef>
              <c:f>'2024.10'!$B$1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545E-41FA-B8FF-AA8281E8B4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545E-41FA-B8FF-AA8281E8B4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545E-41FA-B8FF-AA8281E8B4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545E-41FA-B8FF-AA8281E8B4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545E-41FA-B8FF-AA8281E8B4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545E-41FA-B8FF-AA8281E8B47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545E-41FA-B8FF-AA8281E8B47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545E-41FA-B8FF-AA8281E8B477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545E-41FA-B8FF-AA8281E8B47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545E-41FA-B8FF-AA8281E8B477}"/>
              </c:ext>
            </c:extLst>
          </c:dPt>
          <c:dPt>
            <c:idx val="10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545E-41FA-B8FF-AA8281E8B47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545E-41FA-B8FF-AA8281E8B47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545E-41FA-B8FF-AA8281E8B47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545E-41FA-B8FF-AA8281E8B47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545E-41FA-B8FF-AA8281E8B477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545E-41FA-B8FF-AA8281E8B477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545E-41FA-B8FF-AA8281E8B477}"/>
                </c:ext>
              </c:extLst>
            </c:dLbl>
            <c:dLbl>
              <c:idx val="6"/>
              <c:layout>
                <c:manualLayout>
                  <c:x val="-3.0331922795364865E-3"/>
                  <c:y val="4.261736763996383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545E-41FA-B8FF-AA8281E8B477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545E-41FA-B8FF-AA8281E8B477}"/>
                </c:ext>
              </c:extLst>
            </c:dLbl>
            <c:dLbl>
              <c:idx val="8"/>
              <c:layout>
                <c:manualLayout>
                  <c:x val="-3.0416436040733002E-3"/>
                  <c:y val="1.932810338436646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545E-41FA-B8FF-AA8281E8B477}"/>
                </c:ext>
              </c:extLst>
            </c:dLbl>
            <c:dLbl>
              <c:idx val="9"/>
              <c:layout>
                <c:manualLayout>
                  <c:x val="-9.2214663643235106E-2"/>
                  <c:y val="-7.361962399888100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545E-41FA-B8FF-AA8281E8B477}"/>
                </c:ext>
              </c:extLst>
            </c:dLbl>
            <c:dLbl>
              <c:idx val="10"/>
              <c:layout>
                <c:manualLayout>
                  <c:x val="-3.3097648508222462E-3"/>
                  <c:y val="5.8623033925034871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213650665213309E-2"/>
                      <c:h val="2.6153370961229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C-545E-41FA-B8FF-AA8281E8B477}"/>
                </c:ext>
              </c:extLst>
            </c:dLbl>
            <c:dLbl>
              <c:idx val="12"/>
              <c:layout>
                <c:manualLayout>
                  <c:x val="-6.7991143964147335E-2"/>
                  <c:y val="-8.878582475502259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545E-41FA-B8FF-AA8281E8B477}"/>
                </c:ext>
              </c:extLst>
            </c:dLbl>
            <c:dLbl>
              <c:idx val="13"/>
              <c:layout>
                <c:manualLayout>
                  <c:x val="-6.953892668178388E-2"/>
                  <c:y val="-0.1172460678500697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545E-41FA-B8FF-AA8281E8B477}"/>
                </c:ext>
              </c:extLst>
            </c:dLbl>
            <c:dLbl>
              <c:idx val="14"/>
              <c:layout>
                <c:manualLayout>
                  <c:x val="-1.0661881550520471E-2"/>
                  <c:y val="-9.014142203098916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545E-41FA-B8FF-AA8281E8B477}"/>
                </c:ext>
              </c:extLst>
            </c:dLbl>
            <c:dLbl>
              <c:idx val="15"/>
              <c:layout>
                <c:manualLayout>
                  <c:x val="3.0234315948602219E-3"/>
                  <c:y val="-0.1131560887390207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545E-41FA-B8FF-AA8281E8B4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'2024.10'!$A$2:$A$28</c15:sqref>
                  </c15:fullRef>
                </c:ext>
              </c:extLst>
              <c:f>'2024.10'!$A$2:$A$17</c:f>
              <c:strCache>
                <c:ptCount val="16"/>
                <c:pt idx="0">
                  <c:v>맞히기</c:v>
                </c:pt>
                <c:pt idx="1">
                  <c:v>컴까기</c:v>
                </c:pt>
                <c:pt idx="2">
                  <c:v>대전</c:v>
                </c:pt>
                <c:pt idx="3">
                  <c:v>디펜스</c:v>
                </c:pt>
                <c:pt idx="4">
                  <c:v>캠페인</c:v>
                </c:pt>
                <c:pt idx="5">
                  <c:v>디플로메시</c:v>
                </c:pt>
                <c:pt idx="6">
                  <c:v>호환요청</c:v>
                </c:pt>
                <c:pt idx="7">
                  <c:v>컨트롤</c:v>
                </c:pt>
                <c:pt idx="8">
                  <c:v>키우기</c:v>
                </c:pt>
                <c:pt idx="9">
                  <c:v>서바이벌</c:v>
                </c:pt>
                <c:pt idx="10">
                  <c:v>RPG</c:v>
                </c:pt>
                <c:pt idx="11">
                  <c:v>오펜스</c:v>
                </c:pt>
                <c:pt idx="12">
                  <c:v>미니게임</c:v>
                </c:pt>
                <c:pt idx="13">
                  <c:v>밀리기반</c:v>
                </c:pt>
                <c:pt idx="14">
                  <c:v>블러드</c:v>
                </c:pt>
                <c:pt idx="15">
                  <c:v>리듬게임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'2024.10'!$B$2:$B$28</c15:sqref>
                  </c15:fullRef>
                </c:ext>
              </c:extLst>
              <c:f>'2024.10'!$B$2:$B$17</c:f>
              <c:numCache>
                <c:formatCode>General</c:formatCode>
                <c:ptCount val="16"/>
                <c:pt idx="0">
                  <c:v>60</c:v>
                </c:pt>
                <c:pt idx="1">
                  <c:v>15</c:v>
                </c:pt>
                <c:pt idx="2">
                  <c:v>14</c:v>
                </c:pt>
                <c:pt idx="3">
                  <c:v>11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'2024.10'!$B$18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1.3976824325530792E-2"/>
                        <c:y val="-0.12774046044576909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8E37-4CDB-94EF-3FCBDAADD5AE}"/>
                      </c:ext>
                    </c:extLst>
                  </c15:dLbl>
                </c15:categoryFilterException>
                <c15:categoryFilterException>
                  <c15:sqref>'2024.10'!$B$19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3.1341320430184876E-3"/>
                        <c:y val="-8.719889139022898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8E37-4CDB-94EF-3FCBDAADD5AE}"/>
                      </c:ext>
                    </c:extLst>
                  </c15:dLbl>
                </c15:categoryFilterException>
                <c15:categoryFilterException>
                  <c15:sqref>'2024.10'!$B$20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4.5393254414626744E-2"/>
                        <c:y val="-9.799257169620666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8E37-4CDB-94EF-3FCBDAADD5AE}"/>
                      </c:ext>
                    </c:extLst>
                  </c15:dLbl>
                </c15:categoryFilterException>
                <c15:categoryFilterException>
                  <c15:sqref>'2024.10'!$B$21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'2024.10'!$B$22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7.2817256528800986E-2"/>
                        <c:y val="-7.3865299861903141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8E37-4CDB-94EF-3FCBDAADD5AE}"/>
                      </c:ext>
                    </c:extLst>
                  </c15:dLbl>
                </c15:categoryFilterException>
                <c15:categoryFilterException>
                  <c15:sqref>'2024.10'!$B$23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9.1186562823649935E-3"/>
                        <c:y val="-8.9363735368772165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8E37-4CDB-94EF-3FCBDAADD5AE}"/>
                      </c:ext>
                    </c:extLst>
                  </c15:dLbl>
                </c15:categoryFilterException>
                <c15:categoryFilterException>
                  <c15:sqref>'2024.10'!$B$24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4.6943027595155319E-2"/>
                        <c:y val="-8.5004270725107786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F-8E37-4CDB-94EF-3FCBDAADD5AE}"/>
                      </c:ext>
                    </c:extLst>
                  </c15:dLbl>
                </c15:categoryFilterException>
                <c15:categoryFilterException>
                  <c15:sqref>'2024.10'!$B$25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1.5060974521042068E-2"/>
                        <c:y val="-8.542688915437374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8E37-4CDB-94EF-3FCBDAADD5AE}"/>
                      </c:ext>
                    </c:extLst>
                  </c15:dLbl>
                </c15:categoryFilterException>
                <c15:categoryFilterException>
                  <c15:sqref>'2024.10'!$B$27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4.5286619729442753E-3"/>
                        <c:y val="-8.412782343456701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8E37-4CDB-94EF-3FCBDAADD5AE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D-545E-41FA-B8FF-AA8281E8B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'2024.10'!$B$1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B0C-4E2D-909B-892CF668EC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B0C-4E2D-909B-892CF668EC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B0C-4E2D-909B-892CF668EC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B0C-4E2D-909B-892CF668EC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B0C-4E2D-909B-892CF668EC67}"/>
              </c:ext>
            </c:extLst>
          </c:dPt>
          <c:dPt>
            <c:idx val="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B0C-4E2D-909B-892CF668EC6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B0C-4E2D-909B-892CF668EC6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B0C-4E2D-909B-892CF668EC67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B0C-4E2D-909B-892CF668EC6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B0C-4E2D-909B-892CF668EC6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B0C-4E2D-909B-892CF668EC6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B0C-4E2D-909B-892CF668EC6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B0C-4E2D-909B-892CF668EC6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B0C-4E2D-909B-892CF668EC67}"/>
              </c:ext>
            </c:extLst>
          </c:dPt>
          <c:dPt>
            <c:idx val="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B0C-4E2D-909B-892CF668EC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'2024.10'!$A$2:$A$27</c15:sqref>
                  </c15:fullRef>
                </c:ext>
              </c:extLst>
              <c:f>'2024.10'!$A$3:$A$17</c:f>
              <c:strCache>
                <c:ptCount val="15"/>
                <c:pt idx="0">
                  <c:v>컴까기</c:v>
                </c:pt>
                <c:pt idx="1">
                  <c:v>대전</c:v>
                </c:pt>
                <c:pt idx="2">
                  <c:v>디펜스</c:v>
                </c:pt>
                <c:pt idx="3">
                  <c:v>캠페인</c:v>
                </c:pt>
                <c:pt idx="4">
                  <c:v>디플로메시</c:v>
                </c:pt>
                <c:pt idx="5">
                  <c:v>호환요청</c:v>
                </c:pt>
                <c:pt idx="6">
                  <c:v>컨트롤</c:v>
                </c:pt>
                <c:pt idx="7">
                  <c:v>키우기</c:v>
                </c:pt>
                <c:pt idx="8">
                  <c:v>서바이벌</c:v>
                </c:pt>
                <c:pt idx="9">
                  <c:v>RPG</c:v>
                </c:pt>
                <c:pt idx="10">
                  <c:v>오펜스</c:v>
                </c:pt>
                <c:pt idx="11">
                  <c:v>미니게임</c:v>
                </c:pt>
                <c:pt idx="12">
                  <c:v>밀리기반</c:v>
                </c:pt>
                <c:pt idx="13">
                  <c:v>블러드</c:v>
                </c:pt>
                <c:pt idx="14">
                  <c:v>리듬게임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'2024.10'!$B$2:$B$27</c15:sqref>
                  </c15:fullRef>
                </c:ext>
              </c:extLst>
              <c:f>'2024.10'!$B$3:$B$17</c:f>
              <c:numCache>
                <c:formatCode>General</c:formatCode>
                <c:ptCount val="15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'2024.10'!$B$2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'2024.10'!$B$20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'2024.10'!$B$24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'2024.10'!$B$27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4-EB0C-4E2D-909B-892CF668EC67}"/>
            </c:ext>
          </c:extLst>
        </c:ser>
        <c:ser>
          <c:idx val="0"/>
          <c:order val="1"/>
          <c:tx>
            <c:strRef>
              <c:f>'2024.10'!$B$1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EB0C-4E2D-909B-892CF668EC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EB0C-4E2D-909B-892CF668EC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EB0C-4E2D-909B-892CF668EC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EB0C-4E2D-909B-892CF668EC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EB0C-4E2D-909B-892CF668EC67}"/>
              </c:ext>
            </c:extLst>
          </c:dPt>
          <c:dPt>
            <c:idx val="5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EB0C-4E2D-909B-892CF668EC6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EB0C-4E2D-909B-892CF668EC6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EB0C-4E2D-909B-892CF668EC67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EB0C-4E2D-909B-892CF668EC6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EB0C-4E2D-909B-892CF668EC6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EB0C-4E2D-909B-892CF668EC6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EB0C-4E2D-909B-892CF668EC6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EB0C-4E2D-909B-892CF668EC6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EB0C-4E2D-909B-892CF668EC67}"/>
              </c:ext>
            </c:extLst>
          </c:dPt>
          <c:dPt>
            <c:idx val="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EB0C-4E2D-909B-892CF668EC67}"/>
              </c:ext>
            </c:extLst>
          </c:dPt>
          <c:dLbls>
            <c:dLbl>
              <c:idx val="4"/>
              <c:layout>
                <c:manualLayout>
                  <c:x val="-4.5497122336865944E-3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B0C-4E2D-909B-892CF668EC67}"/>
                </c:ext>
              </c:extLst>
            </c:dLbl>
            <c:dLbl>
              <c:idx val="5"/>
              <c:layout>
                <c:manualLayout>
                  <c:x val="1.0651691237508177E-3"/>
                  <c:y val="-3.54919166947962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B0C-4E2D-909B-892CF668EC67}"/>
                </c:ext>
              </c:extLst>
            </c:dLbl>
            <c:dLbl>
              <c:idx val="6"/>
              <c:layout>
                <c:manualLayout>
                  <c:x val="3.03314148912439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B0C-4E2D-909B-892CF668EC67}"/>
                </c:ext>
              </c:extLst>
            </c:dLbl>
            <c:dLbl>
              <c:idx val="7"/>
              <c:layout>
                <c:manualLayout>
                  <c:x val="-1.5214764821064033E-3"/>
                  <c:y val="-1.3207090027095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B0C-4E2D-909B-892CF668EC67}"/>
                </c:ext>
              </c:extLst>
            </c:dLbl>
            <c:dLbl>
              <c:idx val="8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6-EB0C-4E2D-909B-892CF668EC67}"/>
                </c:ext>
              </c:extLst>
            </c:dLbl>
            <c:dLbl>
              <c:idx val="10"/>
              <c:layout>
                <c:manualLayout>
                  <c:x val="-2.8910671880300678E-3"/>
                  <c:y val="1.251683895927289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B0C-4E2D-909B-892CF668EC67}"/>
                </c:ext>
              </c:extLst>
            </c:dLbl>
            <c:dLbl>
              <c:idx val="11"/>
              <c:layout>
                <c:manualLayout>
                  <c:x val="-6.8027210884353803E-2"/>
                  <c:y val="-8.588956133202785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B0C-4E2D-909B-892CF668EC67}"/>
                </c:ext>
              </c:extLst>
            </c:dLbl>
            <c:dLbl>
              <c:idx val="12"/>
              <c:layout>
                <c:manualLayout>
                  <c:x val="-2.7210884353741551E-2"/>
                  <c:y val="-0.1044362747439710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B0C-4E2D-909B-892CF668EC67}"/>
                </c:ext>
              </c:extLst>
            </c:dLbl>
            <c:dLbl>
              <c:idx val="13"/>
              <c:layout>
                <c:manualLayout>
                  <c:x val="-1.3605442176870748E-2"/>
                  <c:y val="-7.361962399888100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B0C-4E2D-909B-892CF668EC67}"/>
                </c:ext>
              </c:extLst>
            </c:dLbl>
            <c:dLbl>
              <c:idx val="14"/>
              <c:layout>
                <c:manualLayout>
                  <c:x val="-4.5497122336865944E-3"/>
                  <c:y val="-0.1127294095791889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B0C-4E2D-909B-892CF668EC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'2024.10'!$A$2:$A$27</c15:sqref>
                  </c15:fullRef>
                </c:ext>
              </c:extLst>
              <c:f>'2024.10'!$A$3:$A$17</c:f>
              <c:strCache>
                <c:ptCount val="15"/>
                <c:pt idx="0">
                  <c:v>컴까기</c:v>
                </c:pt>
                <c:pt idx="1">
                  <c:v>대전</c:v>
                </c:pt>
                <c:pt idx="2">
                  <c:v>디펜스</c:v>
                </c:pt>
                <c:pt idx="3">
                  <c:v>캠페인</c:v>
                </c:pt>
                <c:pt idx="4">
                  <c:v>디플로메시</c:v>
                </c:pt>
                <c:pt idx="5">
                  <c:v>호환요청</c:v>
                </c:pt>
                <c:pt idx="6">
                  <c:v>컨트롤</c:v>
                </c:pt>
                <c:pt idx="7">
                  <c:v>키우기</c:v>
                </c:pt>
                <c:pt idx="8">
                  <c:v>서바이벌</c:v>
                </c:pt>
                <c:pt idx="9">
                  <c:v>RPG</c:v>
                </c:pt>
                <c:pt idx="10">
                  <c:v>오펜스</c:v>
                </c:pt>
                <c:pt idx="11">
                  <c:v>미니게임</c:v>
                </c:pt>
                <c:pt idx="12">
                  <c:v>밀리기반</c:v>
                </c:pt>
                <c:pt idx="13">
                  <c:v>블러드</c:v>
                </c:pt>
                <c:pt idx="14">
                  <c:v>리듬게임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'2024.10'!$B$2:$B$27</c15:sqref>
                  </c15:fullRef>
                </c:ext>
              </c:extLst>
              <c:f>'2024.10'!$B$3:$B$17</c:f>
              <c:numCache>
                <c:formatCode>General</c:formatCode>
                <c:ptCount val="15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'2024.10'!$B$2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'2024.10'!$B$18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'2024.10'!$B$19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6.9543807024121981E-2"/>
                        <c:y val="-6.673901242140613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CDB8-4D2D-8A18-55E4005D37A6}"/>
                      </c:ext>
                    </c:extLst>
                  </c15:dLbl>
                </c15:categoryFilterException>
                <c15:categoryFilterException>
                  <c15:sqref>'2024.10'!$B$20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6.7871397027752481E-2"/>
                        <c:y val="-9.9817174713280138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CDB8-4D2D-8A18-55E4005D37A6}"/>
                      </c:ext>
                    </c:extLst>
                  </c15:dLbl>
                </c15:categoryFilterException>
                <c15:categoryFilterException>
                  <c15:sqref>'2024.10'!$B$21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'2024.10'!$B$22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9.5036769434269072E-2"/>
                        <c:y val="-5.7497116811182601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CDB8-4D2D-8A18-55E4005D37A6}"/>
                      </c:ext>
                    </c:extLst>
                  </c15:dLbl>
                </c15:categoryFilterException>
                <c15:categoryFilterException>
                  <c15:sqref>'2024.10'!$B$23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7.6785820756905487E-2"/>
                        <c:y val="-9.4926265331300955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CDB8-4D2D-8A18-55E4005D37A6}"/>
                      </c:ext>
                    </c:extLst>
                  </c15:dLbl>
                </c15:categoryFilterException>
                <c15:categoryFilterException>
                  <c15:sqref>'2024.10'!$B$24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'2024.10'!$B$25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2.2675736961451302E-2"/>
                        <c:y val="-8.861621407272714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CDB8-4D2D-8A18-55E4005D37A6}"/>
                      </c:ext>
                    </c:extLst>
                  </c15:dLbl>
                </c15:categoryFilterException>
                <c15:categoryFilterException>
                  <c15:sqref>'2024.10'!$B$27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5.5428938919270718E-17"/>
                        <c:y val="-9.5432845924475387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CDB8-4D2D-8A18-55E4005D37A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9-EB0C-4E2D-909B-892CF668E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'2024.11'!$B$1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FBC-402A-8A65-97180DF0D3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FBC-402A-8A65-97180DF0D3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FBC-402A-8A65-97180DF0D3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FBC-402A-8A65-97180DF0D3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FBC-402A-8A65-97180DF0D3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FBC-402A-8A65-97180DF0D3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FBC-402A-8A65-97180DF0D32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FBC-402A-8A65-97180DF0D32D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FBC-402A-8A65-97180DF0D32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FBC-402A-8A65-97180DF0D32D}"/>
              </c:ext>
            </c:extLst>
          </c:dPt>
          <c:dPt>
            <c:idx val="10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FBC-402A-8A65-97180DF0D32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FBC-402A-8A65-97180DF0D32D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FBC-402A-8A65-97180DF0D32D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FBC-402A-8A65-97180DF0D32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FBC-402A-8A65-97180DF0D32D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FBC-402A-8A65-97180DF0D32D}"/>
              </c:ext>
            </c:extLst>
          </c:dPt>
          <c:dPt>
            <c:idx val="1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0FBC-402A-8A65-97180DF0D32D}"/>
              </c:ext>
            </c:extLst>
          </c:dPt>
          <c:dPt>
            <c:idx val="1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0FBC-402A-8A65-97180DF0D3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'2024.11'!$A$2:$A$28</c15:sqref>
                  </c15:fullRef>
                </c:ext>
              </c:extLst>
              <c:f>'2024.11'!$A$2:$A$19</c:f>
              <c:strCache>
                <c:ptCount val="18"/>
                <c:pt idx="0">
                  <c:v>맞히기</c:v>
                </c:pt>
                <c:pt idx="1">
                  <c:v>대전</c:v>
                </c:pt>
                <c:pt idx="2">
                  <c:v>디펜스</c:v>
                </c:pt>
                <c:pt idx="3">
                  <c:v>컴까기</c:v>
                </c:pt>
                <c:pt idx="4">
                  <c:v>호환요청</c:v>
                </c:pt>
                <c:pt idx="5">
                  <c:v>캠페인</c:v>
                </c:pt>
                <c:pt idx="6">
                  <c:v>키우기</c:v>
                </c:pt>
                <c:pt idx="7">
                  <c:v>서바이벌</c:v>
                </c:pt>
                <c:pt idx="8">
                  <c:v>컨트롤</c:v>
                </c:pt>
                <c:pt idx="9">
                  <c:v>RPG</c:v>
                </c:pt>
                <c:pt idx="10">
                  <c:v>블러드</c:v>
                </c:pt>
                <c:pt idx="11">
                  <c:v>디플로메시</c:v>
                </c:pt>
                <c:pt idx="12">
                  <c:v>공포</c:v>
                </c:pt>
                <c:pt idx="13">
                  <c:v>어드벤처</c:v>
                </c:pt>
                <c:pt idx="14">
                  <c:v>미니게임</c:v>
                </c:pt>
                <c:pt idx="15">
                  <c:v>리듬게임</c:v>
                </c:pt>
                <c:pt idx="16">
                  <c:v>기타</c:v>
                </c:pt>
                <c:pt idx="17">
                  <c:v>추리</c:v>
                </c:pt>
                <c:pt idx="18">
                  <c:v>레이싱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'2024.11'!$B$2:$B$27</c15:sqref>
                  </c15:fullRef>
                </c:ext>
              </c:extLst>
              <c:f>'2024.11'!$B$2:$B$19</c:f>
              <c:numCache>
                <c:formatCode>General</c:formatCode>
                <c:ptCount val="18"/>
                <c:pt idx="0">
                  <c:v>52</c:v>
                </c:pt>
                <c:pt idx="1">
                  <c:v>16</c:v>
                </c:pt>
                <c:pt idx="2">
                  <c:v>15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'2024.11'!$B$22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'2024.11'!$B$23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'2024.11'!$B$24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'2024.11'!$B$25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'2024.11'!$B$27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0-0FBC-402A-8A65-97180DF0D32D}"/>
            </c:ext>
          </c:extLst>
        </c:ser>
        <c:ser>
          <c:idx val="0"/>
          <c:order val="1"/>
          <c:tx>
            <c:strRef>
              <c:f>'2024.11'!$B$1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2-0FBC-402A-8A65-97180DF0D3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0FBC-402A-8A65-97180DF0D3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0FBC-402A-8A65-97180DF0D3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0FBC-402A-8A65-97180DF0D3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0FBC-402A-8A65-97180DF0D3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0FBC-402A-8A65-97180DF0D3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0FBC-402A-8A65-97180DF0D32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0FBC-402A-8A65-97180DF0D32D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0FBC-402A-8A65-97180DF0D32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0FBC-402A-8A65-97180DF0D32D}"/>
              </c:ext>
            </c:extLst>
          </c:dPt>
          <c:dPt>
            <c:idx val="10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0FBC-402A-8A65-97180DF0D32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0FBC-402A-8A65-97180DF0D32D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0FBC-402A-8A65-97180DF0D32D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0FBC-402A-8A65-97180DF0D32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0FBC-402A-8A65-97180DF0D32D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0FBC-402A-8A65-97180DF0D32D}"/>
              </c:ext>
            </c:extLst>
          </c:dPt>
          <c:dPt>
            <c:idx val="16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5-0FBC-402A-8A65-97180DF0D32D}"/>
              </c:ext>
            </c:extLst>
          </c:dPt>
          <c:dPt>
            <c:idx val="17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7-0FBC-402A-8A65-97180DF0D32D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0FBC-402A-8A65-97180DF0D32D}"/>
                </c:ext>
              </c:extLst>
            </c:dLbl>
            <c:dLbl>
              <c:idx val="6"/>
              <c:layout>
                <c:manualLayout>
                  <c:x val="-3.0331922795364865E-3"/>
                  <c:y val="4.261736763996383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0FBC-402A-8A65-97180DF0D32D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0FBC-402A-8A65-97180DF0D32D}"/>
                </c:ext>
              </c:extLst>
            </c:dLbl>
            <c:dLbl>
              <c:idx val="8"/>
              <c:layout>
                <c:manualLayout>
                  <c:x val="-3.0416436040733002E-3"/>
                  <c:y val="1.932810338436646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0FBC-402A-8A65-97180DF0D32D}"/>
                </c:ext>
              </c:extLst>
            </c:dLbl>
            <c:dLbl>
              <c:idx val="9"/>
              <c:layout>
                <c:manualLayout>
                  <c:x val="-3.02343159486016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0FBC-402A-8A65-97180DF0D32D}"/>
                </c:ext>
              </c:extLst>
            </c:dLbl>
            <c:dLbl>
              <c:idx val="10"/>
              <c:layout>
                <c:manualLayout>
                  <c:x val="-3.3097648508222462E-3"/>
                  <c:y val="5.8623033925034871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213650665213309E-2"/>
                      <c:h val="2.6153370961229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6-0FBC-402A-8A65-97180DF0D32D}"/>
                </c:ext>
              </c:extLst>
            </c:dLbl>
            <c:dLbl>
              <c:idx val="11"/>
              <c:layout>
                <c:manualLayout>
                  <c:x val="-9.2214663643235079E-2"/>
                  <c:y val="-8.997954044307680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0FBC-402A-8A65-97180DF0D32D}"/>
                </c:ext>
              </c:extLst>
            </c:dLbl>
            <c:dLbl>
              <c:idx val="12"/>
              <c:layout>
                <c:manualLayout>
                  <c:x val="-3.7138214866004436E-4"/>
                  <c:y val="-5.041087114300770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0FBC-402A-8A65-97180DF0D32D}"/>
                </c:ext>
              </c:extLst>
            </c:dLbl>
            <c:dLbl>
              <c:idx val="13"/>
              <c:layout>
                <c:manualLayout>
                  <c:x val="-8.9301932496533232E-2"/>
                  <c:y val="-9.674217598267652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0FBC-402A-8A65-97180DF0D32D}"/>
                </c:ext>
              </c:extLst>
            </c:dLbl>
            <c:dLbl>
              <c:idx val="14"/>
              <c:layout>
                <c:manualLayout>
                  <c:x val="-7.5665660840013985E-2"/>
                  <c:y val="-0.1187712758083317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0FBC-402A-8A65-97180DF0D32D}"/>
                </c:ext>
              </c:extLst>
            </c:dLbl>
            <c:dLbl>
              <c:idx val="15"/>
              <c:layout>
                <c:manualLayout>
                  <c:x val="-1.9652305366591138E-2"/>
                  <c:y val="-0.1336059842942655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0FBC-402A-8A65-97180DF0D32D}"/>
                </c:ext>
              </c:extLst>
            </c:dLbl>
            <c:dLbl>
              <c:idx val="16"/>
              <c:layout>
                <c:manualLayout>
                  <c:x val="-2.5484909624397733E-4"/>
                  <c:y val="-9.295191397603830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3.9688491319537438E-2"/>
                      <c:h val="2.79319809636699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55-0FBC-402A-8A65-97180DF0D32D}"/>
                </c:ext>
              </c:extLst>
            </c:dLbl>
            <c:dLbl>
              <c:idx val="17"/>
              <c:layout>
                <c:manualLayout>
                  <c:x val="2.8778783604430397E-2"/>
                  <c:y val="-8.27002364136744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0FBC-402A-8A65-97180DF0D3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'2024.11'!$A$2:$A$28</c15:sqref>
                  </c15:fullRef>
                </c:ext>
              </c:extLst>
              <c:f>'2024.11'!$A$2:$A$19</c:f>
              <c:strCache>
                <c:ptCount val="18"/>
                <c:pt idx="0">
                  <c:v>맞히기</c:v>
                </c:pt>
                <c:pt idx="1">
                  <c:v>대전</c:v>
                </c:pt>
                <c:pt idx="2">
                  <c:v>디펜스</c:v>
                </c:pt>
                <c:pt idx="3">
                  <c:v>컴까기</c:v>
                </c:pt>
                <c:pt idx="4">
                  <c:v>호환요청</c:v>
                </c:pt>
                <c:pt idx="5">
                  <c:v>캠페인</c:v>
                </c:pt>
                <c:pt idx="6">
                  <c:v>키우기</c:v>
                </c:pt>
                <c:pt idx="7">
                  <c:v>서바이벌</c:v>
                </c:pt>
                <c:pt idx="8">
                  <c:v>컨트롤</c:v>
                </c:pt>
                <c:pt idx="9">
                  <c:v>RPG</c:v>
                </c:pt>
                <c:pt idx="10">
                  <c:v>블러드</c:v>
                </c:pt>
                <c:pt idx="11">
                  <c:v>디플로메시</c:v>
                </c:pt>
                <c:pt idx="12">
                  <c:v>공포</c:v>
                </c:pt>
                <c:pt idx="13">
                  <c:v>어드벤처</c:v>
                </c:pt>
                <c:pt idx="14">
                  <c:v>미니게임</c:v>
                </c:pt>
                <c:pt idx="15">
                  <c:v>리듬게임</c:v>
                </c:pt>
                <c:pt idx="16">
                  <c:v>기타</c:v>
                </c:pt>
                <c:pt idx="17">
                  <c:v>추리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'2024.11'!$B$2:$B$28</c15:sqref>
                  </c15:fullRef>
                </c:ext>
              </c:extLst>
              <c:f>'2024.11'!$B$2:$B$19</c:f>
              <c:numCache>
                <c:formatCode>General</c:formatCode>
                <c:ptCount val="18"/>
                <c:pt idx="0">
                  <c:v>52</c:v>
                </c:pt>
                <c:pt idx="1">
                  <c:v>16</c:v>
                </c:pt>
                <c:pt idx="2">
                  <c:v>15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'2024.11'!$B$22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4.5393254414626744E-2"/>
                        <c:y val="-9.799257169620666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BB27-47F4-8589-36D48704533B}"/>
                      </c:ext>
                    </c:extLst>
                  </c15:dLbl>
                </c15:categoryFilterException>
                <c15:categoryFilterException>
                  <c15:sqref>'2024.11'!$B$23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'2024.11'!$B$24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9.1186562823649935E-3"/>
                        <c:y val="-8.9363735368772165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BB27-47F4-8589-36D48704533B}"/>
                      </c:ext>
                    </c:extLst>
                  </c15:dLbl>
                </c15:categoryFilterException>
                <c15:categoryFilterException>
                  <c15:sqref>'2024.11'!$B$25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4.6943027595155319E-2"/>
                        <c:y val="-8.5004270725107786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BB27-47F4-8589-36D48704533B}"/>
                      </c:ext>
                    </c:extLst>
                  </c15:dLbl>
                </c15:categoryFilterException>
                <c15:categoryFilterException>
                  <c15:sqref>'2024.11'!$B$27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4.5286619729442753E-3"/>
                        <c:y val="-8.412782343456701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BB27-47F4-8589-36D48704533B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1-0FBC-402A-8A65-97180DF0D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'2024.11'!$B$1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451-4DA8-BC3B-2FF493EC15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451-4DA8-BC3B-2FF493EC15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451-4DA8-BC3B-2FF493EC15DB}"/>
              </c:ext>
            </c:extLst>
          </c:dPt>
          <c:dPt>
            <c:idx val="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451-4DA8-BC3B-2FF493EC15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451-4DA8-BC3B-2FF493EC15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451-4DA8-BC3B-2FF493EC15DB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451-4DA8-BC3B-2FF493EC15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451-4DA8-BC3B-2FF493EC15D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451-4DA8-BC3B-2FF493EC15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451-4DA8-BC3B-2FF493EC15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451-4DA8-BC3B-2FF493EC15DB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451-4DA8-BC3B-2FF493EC15DB}"/>
              </c:ext>
            </c:extLst>
          </c:dPt>
          <c:dPt>
            <c:idx val="1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451-4DA8-BC3B-2FF493EC15D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451-4DA8-BC3B-2FF493EC15DB}"/>
              </c:ext>
            </c:extLst>
          </c:dPt>
          <c:dPt>
            <c:idx val="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451-4DA8-BC3B-2FF493EC15DB}"/>
              </c:ext>
            </c:extLst>
          </c:dPt>
          <c:dPt>
            <c:idx val="15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8451-4DA8-BC3B-2FF493EC15DB}"/>
              </c:ext>
            </c:extLst>
          </c:dPt>
          <c:dPt>
            <c:idx val="16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8451-4DA8-BC3B-2FF493EC15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'2024.11'!$A$2:$A$27</c15:sqref>
                  </c15:fullRef>
                </c:ext>
              </c:extLst>
              <c:f>'2024.11'!$A$3:$A$19</c:f>
              <c:strCache>
                <c:ptCount val="17"/>
                <c:pt idx="0">
                  <c:v>대전</c:v>
                </c:pt>
                <c:pt idx="1">
                  <c:v>디펜스</c:v>
                </c:pt>
                <c:pt idx="2">
                  <c:v>컴까기</c:v>
                </c:pt>
                <c:pt idx="3">
                  <c:v>호환요청</c:v>
                </c:pt>
                <c:pt idx="4">
                  <c:v>캠페인</c:v>
                </c:pt>
                <c:pt idx="5">
                  <c:v>키우기</c:v>
                </c:pt>
                <c:pt idx="6">
                  <c:v>서바이벌</c:v>
                </c:pt>
                <c:pt idx="7">
                  <c:v>컨트롤</c:v>
                </c:pt>
                <c:pt idx="8">
                  <c:v>RPG</c:v>
                </c:pt>
                <c:pt idx="9">
                  <c:v>블러드</c:v>
                </c:pt>
                <c:pt idx="10">
                  <c:v>디플로메시</c:v>
                </c:pt>
                <c:pt idx="11">
                  <c:v>공포</c:v>
                </c:pt>
                <c:pt idx="12">
                  <c:v>어드벤처</c:v>
                </c:pt>
                <c:pt idx="13">
                  <c:v>미니게임</c:v>
                </c:pt>
                <c:pt idx="14">
                  <c:v>리듬게임</c:v>
                </c:pt>
                <c:pt idx="15">
                  <c:v>기타</c:v>
                </c:pt>
                <c:pt idx="16">
                  <c:v>추리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'2024.11'!$B$2:$B$27</c15:sqref>
                  </c15:fullRef>
                </c:ext>
              </c:extLst>
              <c:f>'2024.11'!$B$3:$B$19</c:f>
              <c:numCache>
                <c:formatCode>General</c:formatCode>
                <c:ptCount val="17"/>
                <c:pt idx="0">
                  <c:v>16</c:v>
                </c:pt>
                <c:pt idx="1">
                  <c:v>15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'2024.11'!$B$2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'2024.11'!$B$20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'2024.11'!$B$21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'2024.11'!$B$22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'2024.11'!$B$23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'2024.11'!$B$24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'2024.11'!$B$25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'2024.11'!$B$27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E-8451-4DA8-BC3B-2FF493EC15DB}"/>
            </c:ext>
          </c:extLst>
        </c:ser>
        <c:ser>
          <c:idx val="0"/>
          <c:order val="1"/>
          <c:tx>
            <c:strRef>
              <c:f>'2024.11'!$B$1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0-8451-4DA8-BC3B-2FF493EC15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2-8451-4DA8-BC3B-2FF493EC15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8451-4DA8-BC3B-2FF493EC15DB}"/>
              </c:ext>
            </c:extLst>
          </c:dPt>
          <c:dPt>
            <c:idx val="3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8451-4DA8-BC3B-2FF493EC15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8451-4DA8-BC3B-2FF493EC15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8451-4DA8-BC3B-2FF493EC15DB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8451-4DA8-BC3B-2FF493EC15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8451-4DA8-BC3B-2FF493EC15D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8451-4DA8-BC3B-2FF493EC15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8451-4DA8-BC3B-2FF493EC15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8451-4DA8-BC3B-2FF493EC15DB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8451-4DA8-BC3B-2FF493EC15DB}"/>
              </c:ext>
            </c:extLst>
          </c:dPt>
          <c:dPt>
            <c:idx val="1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8451-4DA8-BC3B-2FF493EC15D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8451-4DA8-BC3B-2FF493EC15DB}"/>
              </c:ext>
            </c:extLst>
          </c:dPt>
          <c:dPt>
            <c:idx val="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8451-4DA8-BC3B-2FF493EC15DB}"/>
              </c:ext>
            </c:extLst>
          </c:dPt>
          <c:dPt>
            <c:idx val="15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5-8451-4DA8-BC3B-2FF493EC15DB}"/>
              </c:ext>
            </c:extLst>
          </c:dPt>
          <c:dPt>
            <c:idx val="16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7-8451-4DA8-BC3B-2FF493EC15DB}"/>
              </c:ext>
            </c:extLst>
          </c:dPt>
          <c:dLbls>
            <c:dLbl>
              <c:idx val="3"/>
              <c:layout>
                <c:manualLayout>
                  <c:x val="1.0651691237508177E-3"/>
                  <c:y val="-3.54919166947962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451-4DA8-BC3B-2FF493EC15DB}"/>
                </c:ext>
              </c:extLst>
            </c:dLbl>
            <c:dLbl>
              <c:idx val="5"/>
              <c:layout>
                <c:manualLayout>
                  <c:x val="-1.5214764821064033E-3"/>
                  <c:y val="-1.3207090027095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451-4DA8-BC3B-2FF493EC15DB}"/>
                </c:ext>
              </c:extLst>
            </c:dLbl>
            <c:dLbl>
              <c:idx val="6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C-8451-4DA8-BC3B-2FF493EC15DB}"/>
                </c:ext>
              </c:extLst>
            </c:dLbl>
            <c:dLbl>
              <c:idx val="7"/>
              <c:layout>
                <c:manualLayout>
                  <c:x val="3.03314148912439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451-4DA8-BC3B-2FF493EC15DB}"/>
                </c:ext>
              </c:extLst>
            </c:dLbl>
            <c:dLbl>
              <c:idx val="9"/>
              <c:layout>
                <c:manualLayout>
                  <c:x val="-4.5351473922902496E-3"/>
                  <c:y val="-4.08997911104899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451-4DA8-BC3B-2FF493EC15DB}"/>
                </c:ext>
              </c:extLst>
            </c:dLbl>
            <c:dLbl>
              <c:idx val="10"/>
              <c:layout>
                <c:manualLayout>
                  <c:x val="-0.11339320680153075"/>
                  <c:y val="-4.222050011319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8451-4DA8-BC3B-2FF493EC15DB}"/>
                </c:ext>
              </c:extLst>
            </c:dLbl>
            <c:dLbl>
              <c:idx val="12"/>
              <c:layout>
                <c:manualLayout>
                  <c:x val="-3.0283119371983264E-3"/>
                  <c:y val="-1.299346644623053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8451-4DA8-BC3B-2FF493EC15DB}"/>
                </c:ext>
              </c:extLst>
            </c:dLbl>
            <c:dLbl>
              <c:idx val="13"/>
              <c:layout>
                <c:manualLayout>
                  <c:x val="-9.6749811035525324E-2"/>
                  <c:y val="-7.907292948027962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8451-4DA8-BC3B-2FF493EC15DB}"/>
                </c:ext>
              </c:extLst>
            </c:dLbl>
            <c:dLbl>
              <c:idx val="14"/>
              <c:layout>
                <c:manualLayout>
                  <c:x val="-7.5600311865778688E-2"/>
                  <c:y val="-0.1072760728385560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8451-4DA8-BC3B-2FF493EC15DB}"/>
                </c:ext>
              </c:extLst>
            </c:dLbl>
            <c:dLbl>
              <c:idx val="15"/>
              <c:layout>
                <c:manualLayout>
                  <c:x val="-8.8690104213163829E-3"/>
                  <c:y val="-7.385707895409467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8451-4DA8-BC3B-2FF493EC15DB}"/>
                </c:ext>
              </c:extLst>
            </c:dLbl>
            <c:dLbl>
              <c:idx val="16"/>
              <c:layout>
                <c:manualLayout>
                  <c:x val="-3.0234315948601664E-3"/>
                  <c:y val="-8.861621407272712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8451-4DA8-BC3B-2FF493EC15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'2024.11'!$A$2:$A$27</c15:sqref>
                  </c15:fullRef>
                </c:ext>
              </c:extLst>
              <c:f>'2024.11'!$A$3:$A$19</c:f>
              <c:strCache>
                <c:ptCount val="17"/>
                <c:pt idx="0">
                  <c:v>대전</c:v>
                </c:pt>
                <c:pt idx="1">
                  <c:v>디펜스</c:v>
                </c:pt>
                <c:pt idx="2">
                  <c:v>컴까기</c:v>
                </c:pt>
                <c:pt idx="3">
                  <c:v>호환요청</c:v>
                </c:pt>
                <c:pt idx="4">
                  <c:v>캠페인</c:v>
                </c:pt>
                <c:pt idx="5">
                  <c:v>키우기</c:v>
                </c:pt>
                <c:pt idx="6">
                  <c:v>서바이벌</c:v>
                </c:pt>
                <c:pt idx="7">
                  <c:v>컨트롤</c:v>
                </c:pt>
                <c:pt idx="8">
                  <c:v>RPG</c:v>
                </c:pt>
                <c:pt idx="9">
                  <c:v>블러드</c:v>
                </c:pt>
                <c:pt idx="10">
                  <c:v>디플로메시</c:v>
                </c:pt>
                <c:pt idx="11">
                  <c:v>공포</c:v>
                </c:pt>
                <c:pt idx="12">
                  <c:v>어드벤처</c:v>
                </c:pt>
                <c:pt idx="13">
                  <c:v>미니게임</c:v>
                </c:pt>
                <c:pt idx="14">
                  <c:v>리듬게임</c:v>
                </c:pt>
                <c:pt idx="15">
                  <c:v>기타</c:v>
                </c:pt>
                <c:pt idx="16">
                  <c:v>추리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'2024.11'!$B$2:$B$27</c15:sqref>
                  </c15:fullRef>
                </c:ext>
              </c:extLst>
              <c:f>'2024.11'!$B$3:$B$19</c:f>
              <c:numCache>
                <c:formatCode>General</c:formatCode>
                <c:ptCount val="17"/>
                <c:pt idx="0">
                  <c:v>16</c:v>
                </c:pt>
                <c:pt idx="1">
                  <c:v>15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'2024.11'!$B$2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'2024.11'!$B$20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2.8910671880300678E-3"/>
                        <c:y val="1.2516838959272898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EF1F-4E5C-8173-750EC8E5C992}"/>
                      </c:ext>
                    </c:extLst>
                  </c15:dLbl>
                </c15:categoryFilterException>
                <c15:categoryFilterException>
                  <c15:sqref>'2024.11'!$B$21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2.7210884353741551E-2"/>
                        <c:y val="-0.1044362747439710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EF1F-4E5C-8173-750EC8E5C992}"/>
                      </c:ext>
                    </c:extLst>
                  </c15:dLbl>
                </c15:categoryFilterException>
                <c15:categoryFilterException>
                  <c15:sqref>'2024.11'!$B$22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6.7871397027752481E-2"/>
                        <c:y val="-9.9817174713280138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EF1F-4E5C-8173-750EC8E5C992}"/>
                      </c:ext>
                    </c:extLst>
                  </c15:dLbl>
                </c15:categoryFilterException>
                <c15:categoryFilterException>
                  <c15:sqref>'2024.11'!$B$23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'2024.11'!$B$24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7.6785820756905487E-2"/>
                        <c:y val="-9.4926265331300955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F-EF1F-4E5C-8173-750EC8E5C992}"/>
                      </c:ext>
                    </c:extLst>
                  </c15:dLbl>
                </c15:categoryFilterException>
                <c15:categoryFilterException>
                  <c15:sqref>'2024.11'!$B$25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'2024.11'!$B$27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5.5428938919270718E-17"/>
                        <c:y val="-9.5432845924475387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EF1F-4E5C-8173-750EC8E5C99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D-8451-4DA8-BC3B-2FF493EC1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'2024.12'!$B$1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3A-4090-9CBB-9E3F580A92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A3A-4090-9CBB-9E3F580A92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A3A-4090-9CBB-9E3F580A92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A3A-4090-9CBB-9E3F580A92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A3A-4090-9CBB-9E3F580A92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A3A-4090-9CBB-9E3F580A92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A3A-4090-9CBB-9E3F580A927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A3A-4090-9CBB-9E3F580A927D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A3A-4090-9CBB-9E3F580A927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A3A-4090-9CBB-9E3F580A927D}"/>
              </c:ext>
            </c:extLst>
          </c:dPt>
          <c:dPt>
            <c:idx val="10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A3A-4090-9CBB-9E3F580A927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A3A-4090-9CBB-9E3F580A927D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A3A-4090-9CBB-9E3F580A927D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A3A-4090-9CBB-9E3F580A927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A3A-4090-9CBB-9E3F580A927D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A3A-4090-9CBB-9E3F580A927D}"/>
              </c:ext>
            </c:extLst>
          </c:dPt>
          <c:dPt>
            <c:idx val="1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A3A-4090-9CBB-9E3F580A927D}"/>
              </c:ext>
            </c:extLst>
          </c:dPt>
          <c:dPt>
            <c:idx val="1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A3A-4090-9CBB-9E3F580A927D}"/>
              </c:ext>
            </c:extLst>
          </c:dPt>
          <c:dPt>
            <c:idx val="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EAB3-45AE-A6C0-4CEF46AC66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'2024.12'!$A$2:$A$28</c15:sqref>
                  </c15:fullRef>
                </c:ext>
              </c:extLst>
              <c:f>'2024.12'!$A$2:$A$20</c:f>
              <c:strCache>
                <c:ptCount val="19"/>
                <c:pt idx="0">
                  <c:v>맞히기</c:v>
                </c:pt>
                <c:pt idx="1">
                  <c:v>컴까기</c:v>
                </c:pt>
                <c:pt idx="2">
                  <c:v>디펜스</c:v>
                </c:pt>
                <c:pt idx="3">
                  <c:v>대전</c:v>
                </c:pt>
                <c:pt idx="4">
                  <c:v>RPG</c:v>
                </c:pt>
                <c:pt idx="5">
                  <c:v>캠페인</c:v>
                </c:pt>
                <c:pt idx="6">
                  <c:v>서바이벌</c:v>
                </c:pt>
                <c:pt idx="7">
                  <c:v>어드벤처</c:v>
                </c:pt>
                <c:pt idx="8">
                  <c:v>호환요청</c:v>
                </c:pt>
                <c:pt idx="9">
                  <c:v>블러드</c:v>
                </c:pt>
                <c:pt idx="10">
                  <c:v>공포</c:v>
                </c:pt>
                <c:pt idx="11">
                  <c:v>미니게임</c:v>
                </c:pt>
                <c:pt idx="12">
                  <c:v>오펜스</c:v>
                </c:pt>
                <c:pt idx="13">
                  <c:v>키우기</c:v>
                </c:pt>
                <c:pt idx="14">
                  <c:v>컨트롤</c:v>
                </c:pt>
                <c:pt idx="15">
                  <c:v>디플로메시</c:v>
                </c:pt>
                <c:pt idx="16">
                  <c:v>기타</c:v>
                </c:pt>
                <c:pt idx="17">
                  <c:v>밀리기반</c:v>
                </c:pt>
                <c:pt idx="18">
                  <c:v>퍼즐</c:v>
                </c:pt>
                <c:pt idx="19">
                  <c:v>레이싱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'2024.12'!$B$2:$B$27</c15:sqref>
                  </c15:fullRef>
                </c:ext>
              </c:extLst>
              <c:f>'2024.12'!$B$2:$B$20</c:f>
              <c:numCache>
                <c:formatCode>General</c:formatCode>
                <c:ptCount val="19"/>
                <c:pt idx="0">
                  <c:v>37</c:v>
                </c:pt>
                <c:pt idx="1">
                  <c:v>19</c:v>
                </c:pt>
                <c:pt idx="2">
                  <c:v>14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'2024.12'!$B$23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'2024.12'!$B$24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'2024.12'!$B$25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'2024.12'!$B$27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4-CA3A-4090-9CBB-9E3F580A927D}"/>
            </c:ext>
          </c:extLst>
        </c:ser>
        <c:ser>
          <c:idx val="0"/>
          <c:order val="1"/>
          <c:tx>
            <c:strRef>
              <c:f>'2024.12'!$B$1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CA3A-4090-9CBB-9E3F580A92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CA3A-4090-9CBB-9E3F580A92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CA3A-4090-9CBB-9E3F580A92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CA3A-4090-9CBB-9E3F580A92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CA3A-4090-9CBB-9E3F580A92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CA3A-4090-9CBB-9E3F580A92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CA3A-4090-9CBB-9E3F580A927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CA3A-4090-9CBB-9E3F580A927D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CA3A-4090-9CBB-9E3F580A927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CA3A-4090-9CBB-9E3F580A927D}"/>
              </c:ext>
            </c:extLst>
          </c:dPt>
          <c:dPt>
            <c:idx val="10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CA3A-4090-9CBB-9E3F580A927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CA3A-4090-9CBB-9E3F580A927D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CA3A-4090-9CBB-9E3F580A927D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CA3A-4090-9CBB-9E3F580A927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CA3A-4090-9CBB-9E3F580A927D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CA3A-4090-9CBB-9E3F580A927D}"/>
              </c:ext>
            </c:extLst>
          </c:dPt>
          <c:dPt>
            <c:idx val="16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CA3A-4090-9CBB-9E3F580A927D}"/>
              </c:ext>
            </c:extLst>
          </c:dPt>
          <c:dPt>
            <c:idx val="17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CA3A-4090-9CBB-9E3F580A927D}"/>
              </c:ext>
            </c:extLst>
          </c:dPt>
          <c:dPt>
            <c:idx val="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B-EAB3-45AE-A6C0-4CEF46AC6660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A3A-4090-9CBB-9E3F580A927D}"/>
                </c:ext>
              </c:extLst>
            </c:dLbl>
            <c:dLbl>
              <c:idx val="6"/>
              <c:layout>
                <c:manualLayout>
                  <c:x val="-3.0331922795364865E-3"/>
                  <c:y val="4.261736763996383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A3A-4090-9CBB-9E3F580A927D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A3A-4090-9CBB-9E3F580A927D}"/>
                </c:ext>
              </c:extLst>
            </c:dLbl>
            <c:dLbl>
              <c:idx val="8"/>
              <c:layout>
                <c:manualLayout>
                  <c:x val="-0.11490861261389945"/>
                  <c:y val="-3.624032803135349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A3A-4090-9CBB-9E3F580A927D}"/>
                </c:ext>
              </c:extLst>
            </c:dLbl>
            <c:dLbl>
              <c:idx val="9"/>
              <c:layout>
                <c:manualLayout>
                  <c:x val="-3.02343159486016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A3A-4090-9CBB-9E3F580A927D}"/>
                </c:ext>
              </c:extLst>
            </c:dLbl>
            <c:dLbl>
              <c:idx val="10"/>
              <c:layout>
                <c:manualLayout>
                  <c:x val="-3.3097648508222462E-3"/>
                  <c:y val="5.8623033925034871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213650665213309E-2"/>
                      <c:h val="2.6153370961229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A-CA3A-4090-9CBB-9E3F580A927D}"/>
                </c:ext>
              </c:extLst>
            </c:dLbl>
            <c:dLbl>
              <c:idx val="11"/>
              <c:layout>
                <c:manualLayout>
                  <c:x val="-9.2214663643235079E-2"/>
                  <c:y val="-5.180640207328662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A3A-4090-9CBB-9E3F580A927D}"/>
                </c:ext>
              </c:extLst>
            </c:dLbl>
            <c:dLbl>
              <c:idx val="12"/>
              <c:layout>
                <c:manualLayout>
                  <c:x val="-3.7138214866004436E-4"/>
                  <c:y val="-5.041087114300770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A3A-4090-9CBB-9E3F580A927D}"/>
                </c:ext>
              </c:extLst>
            </c:dLbl>
            <c:dLbl>
              <c:idx val="13"/>
              <c:layout>
                <c:manualLayout>
                  <c:x val="-6.2091048142791677E-2"/>
                  <c:y val="-5.993236398323602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A3A-4090-9CBB-9E3F580A927D}"/>
                </c:ext>
              </c:extLst>
            </c:dLbl>
            <c:dLbl>
              <c:idx val="14"/>
              <c:layout>
                <c:manualLayout>
                  <c:x val="-5.450163967599294E-2"/>
                  <c:y val="-7.514483195714305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A3A-4090-9CBB-9E3F580A927D}"/>
                </c:ext>
              </c:extLst>
            </c:dLbl>
            <c:dLbl>
              <c:idx val="15"/>
              <c:layout>
                <c:manualLayout>
                  <c:x val="-3.3257747543461828E-2"/>
                  <c:y val="-0.102249477776223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A3A-4090-9CBB-9E3F580A927D}"/>
                </c:ext>
              </c:extLst>
            </c:dLbl>
            <c:dLbl>
              <c:idx val="16"/>
              <c:layout>
                <c:manualLayout>
                  <c:x val="-1.0836859678254504E-2"/>
                  <c:y val="-7.522867116149288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3.9688491319537438E-2"/>
                      <c:h val="2.79319809636699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6-CA3A-4090-9CBB-9E3F580A927D}"/>
                </c:ext>
              </c:extLst>
            </c:dLbl>
            <c:dLbl>
              <c:idx val="17"/>
              <c:layout>
                <c:manualLayout>
                  <c:x val="4.591330845549124E-3"/>
                  <c:y val="-0.1072401110799681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A3A-4090-9CBB-9E3F580A927D}"/>
                </c:ext>
              </c:extLst>
            </c:dLbl>
            <c:dLbl>
              <c:idx val="18"/>
              <c:layout>
                <c:manualLayout>
                  <c:x val="3.6322959630046135E-2"/>
                  <c:y val="-7.754267614096194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EAB3-45AE-A6C0-4CEF46AC66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'2024.12'!$A$2:$A$28</c15:sqref>
                  </c15:fullRef>
                </c:ext>
              </c:extLst>
              <c:f>'2024.12'!$A$2:$A$20</c:f>
              <c:strCache>
                <c:ptCount val="19"/>
                <c:pt idx="0">
                  <c:v>맞히기</c:v>
                </c:pt>
                <c:pt idx="1">
                  <c:v>컴까기</c:v>
                </c:pt>
                <c:pt idx="2">
                  <c:v>디펜스</c:v>
                </c:pt>
                <c:pt idx="3">
                  <c:v>대전</c:v>
                </c:pt>
                <c:pt idx="4">
                  <c:v>RPG</c:v>
                </c:pt>
                <c:pt idx="5">
                  <c:v>캠페인</c:v>
                </c:pt>
                <c:pt idx="6">
                  <c:v>서바이벌</c:v>
                </c:pt>
                <c:pt idx="7">
                  <c:v>어드벤처</c:v>
                </c:pt>
                <c:pt idx="8">
                  <c:v>호환요청</c:v>
                </c:pt>
                <c:pt idx="9">
                  <c:v>블러드</c:v>
                </c:pt>
                <c:pt idx="10">
                  <c:v>공포</c:v>
                </c:pt>
                <c:pt idx="11">
                  <c:v>미니게임</c:v>
                </c:pt>
                <c:pt idx="12">
                  <c:v>오펜스</c:v>
                </c:pt>
                <c:pt idx="13">
                  <c:v>키우기</c:v>
                </c:pt>
                <c:pt idx="14">
                  <c:v>컨트롤</c:v>
                </c:pt>
                <c:pt idx="15">
                  <c:v>디플로메시</c:v>
                </c:pt>
                <c:pt idx="16">
                  <c:v>기타</c:v>
                </c:pt>
                <c:pt idx="17">
                  <c:v>밀리기반</c:v>
                </c:pt>
                <c:pt idx="18">
                  <c:v>퍼즐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'2024.12'!$B$2:$B$28</c15:sqref>
                  </c15:fullRef>
                </c:ext>
              </c:extLst>
              <c:f>'2024.12'!$B$2:$B$20</c:f>
              <c:numCache>
                <c:formatCode>General</c:formatCode>
                <c:ptCount val="19"/>
                <c:pt idx="0">
                  <c:v>37</c:v>
                </c:pt>
                <c:pt idx="1">
                  <c:v>19</c:v>
                </c:pt>
                <c:pt idx="2">
                  <c:v>14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'2024.12'!$B$23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'2024.12'!$B$24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-9.1186562823649935E-3"/>
                        <c:y val="-8.9363735368772165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E0A1-435B-AC83-A33DE6217F2F}"/>
                      </c:ext>
                    </c:extLst>
                  </c15:dLbl>
                </c15:categoryFilterException>
                <c15:categoryFilterException>
                  <c15:sqref>'2024.12'!$B$25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4.6943027595155319E-2"/>
                        <c:y val="-8.5004270725107786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E0A1-435B-AC83-A33DE6217F2F}"/>
                      </c:ext>
                    </c:extLst>
                  </c15:dLbl>
                </c15:categoryFilterException>
                <c15:categoryFilterException>
                  <c15:sqref>'2024.12'!$B$27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4.5286619729442753E-3"/>
                        <c:y val="-8.412782343456701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E0A1-435B-AC83-A33DE6217F2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9-CA3A-4090-9CBB-9E3F580A9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'2024.12'!$B$1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3B-4AF4-8EAC-AB9AD27929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3B-4AF4-8EAC-AB9AD27929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3B-4AF4-8EAC-AB9AD27929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93B-4AF4-8EAC-AB9AD27929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93B-4AF4-8EAC-AB9AD2792935}"/>
              </c:ext>
            </c:extLst>
          </c:dPt>
          <c:dPt>
            <c:idx val="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93B-4AF4-8EAC-AB9AD2792935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93B-4AF4-8EAC-AB9AD27929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93B-4AF4-8EAC-AB9AD27929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93B-4AF4-8EAC-AB9AD2792935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93B-4AF4-8EAC-AB9AD27929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93B-4AF4-8EAC-AB9AD2792935}"/>
              </c:ext>
            </c:extLst>
          </c:dPt>
          <c:dPt>
            <c:idx val="11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93B-4AF4-8EAC-AB9AD279293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93B-4AF4-8EAC-AB9AD279293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93B-4AF4-8EAC-AB9AD279293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93B-4AF4-8EAC-AB9AD2792935}"/>
              </c:ext>
            </c:extLst>
          </c:dPt>
          <c:dPt>
            <c:idx val="15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93B-4AF4-8EAC-AB9AD2792935}"/>
              </c:ext>
            </c:extLst>
          </c:dPt>
          <c:dPt>
            <c:idx val="1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193B-4AF4-8EAC-AB9AD2792935}"/>
              </c:ext>
            </c:extLst>
          </c:dPt>
          <c:dPt>
            <c:idx val="1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193B-4AF4-8EAC-AB9AD27929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'2024.12'!$A$2:$A$27</c15:sqref>
                  </c15:fullRef>
                </c:ext>
              </c:extLst>
              <c:f>'2024.12'!$A$3:$A$20</c:f>
              <c:strCache>
                <c:ptCount val="18"/>
                <c:pt idx="0">
                  <c:v>컴까기</c:v>
                </c:pt>
                <c:pt idx="1">
                  <c:v>디펜스</c:v>
                </c:pt>
                <c:pt idx="2">
                  <c:v>대전</c:v>
                </c:pt>
                <c:pt idx="3">
                  <c:v>RPG</c:v>
                </c:pt>
                <c:pt idx="4">
                  <c:v>캠페인</c:v>
                </c:pt>
                <c:pt idx="5">
                  <c:v>서바이벌</c:v>
                </c:pt>
                <c:pt idx="6">
                  <c:v>어드벤처</c:v>
                </c:pt>
                <c:pt idx="7">
                  <c:v>호환요청</c:v>
                </c:pt>
                <c:pt idx="8">
                  <c:v>블러드</c:v>
                </c:pt>
                <c:pt idx="9">
                  <c:v>공포</c:v>
                </c:pt>
                <c:pt idx="10">
                  <c:v>미니게임</c:v>
                </c:pt>
                <c:pt idx="11">
                  <c:v>오펜스</c:v>
                </c:pt>
                <c:pt idx="12">
                  <c:v>키우기</c:v>
                </c:pt>
                <c:pt idx="13">
                  <c:v>컨트롤</c:v>
                </c:pt>
                <c:pt idx="14">
                  <c:v>디플로메시</c:v>
                </c:pt>
                <c:pt idx="15">
                  <c:v>기타</c:v>
                </c:pt>
                <c:pt idx="16">
                  <c:v>밀리기반</c:v>
                </c:pt>
                <c:pt idx="17">
                  <c:v>퍼즐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'2024.12'!$B$2:$B$27</c15:sqref>
                  </c15:fullRef>
                </c:ext>
              </c:extLst>
              <c:f>'2024.12'!$B$3:$B$20</c:f>
              <c:numCache>
                <c:formatCode>General</c:formatCode>
                <c:ptCount val="18"/>
                <c:pt idx="0">
                  <c:v>19</c:v>
                </c:pt>
                <c:pt idx="1">
                  <c:v>14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'2024.12'!$B$2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'2024.12'!$B$21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'2024.12'!$B$22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'2024.12'!$B$23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'2024.12'!$B$24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'2024.12'!$B$25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'2024.12'!$B$27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2-193B-4AF4-8EAC-AB9AD2792935}"/>
            </c:ext>
          </c:extLst>
        </c:ser>
        <c:ser>
          <c:idx val="0"/>
          <c:order val="1"/>
          <c:tx>
            <c:strRef>
              <c:f>'2024.12'!$B$1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193B-4AF4-8EAC-AB9AD27929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193B-4AF4-8EAC-AB9AD27929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193B-4AF4-8EAC-AB9AD27929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193B-4AF4-8EAC-AB9AD27929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193B-4AF4-8EAC-AB9AD2792935}"/>
              </c:ext>
            </c:extLst>
          </c:dPt>
          <c:dPt>
            <c:idx val="5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193B-4AF4-8EAC-AB9AD2792935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193B-4AF4-8EAC-AB9AD27929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193B-4AF4-8EAC-AB9AD27929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193B-4AF4-8EAC-AB9AD2792935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193B-4AF4-8EAC-AB9AD27929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193B-4AF4-8EAC-AB9AD2792935}"/>
              </c:ext>
            </c:extLst>
          </c:dPt>
          <c:dPt>
            <c:idx val="11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193B-4AF4-8EAC-AB9AD279293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193B-4AF4-8EAC-AB9AD279293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193B-4AF4-8EAC-AB9AD279293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193B-4AF4-8EAC-AB9AD2792935}"/>
              </c:ext>
            </c:extLst>
          </c:dPt>
          <c:dPt>
            <c:idx val="15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193B-4AF4-8EAC-AB9AD2792935}"/>
              </c:ext>
            </c:extLst>
          </c:dPt>
          <c:dPt>
            <c:idx val="16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193B-4AF4-8EAC-AB9AD2792935}"/>
              </c:ext>
            </c:extLst>
          </c:dPt>
          <c:dPt>
            <c:idx val="17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9-193B-4AF4-8EAC-AB9AD2792935}"/>
              </c:ext>
            </c:extLst>
          </c:dPt>
          <c:dLbls>
            <c:dLbl>
              <c:idx val="5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193B-4AF4-8EAC-AB9AD2792935}"/>
                </c:ext>
              </c:extLst>
            </c:dLbl>
            <c:dLbl>
              <c:idx val="6"/>
              <c:layout>
                <c:manualLayout>
                  <c:x val="-3.0283119371983264E-3"/>
                  <c:y val="-1.299346644623053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193B-4AF4-8EAC-AB9AD2792935}"/>
                </c:ext>
              </c:extLst>
            </c:dLbl>
            <c:dLbl>
              <c:idx val="7"/>
              <c:layout>
                <c:manualLayout>
                  <c:x val="1.0651691237508177E-3"/>
                  <c:y val="-3.54919166947962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193B-4AF4-8EAC-AB9AD2792935}"/>
                </c:ext>
              </c:extLst>
            </c:dLbl>
            <c:dLbl>
              <c:idx val="8"/>
              <c:layout>
                <c:manualLayout>
                  <c:x val="-4.5351473922902496E-3"/>
                  <c:y val="-4.08997911104899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193B-4AF4-8EAC-AB9AD2792935}"/>
                </c:ext>
              </c:extLst>
            </c:dLbl>
            <c:dLbl>
              <c:idx val="10"/>
              <c:layout>
                <c:manualLayout>
                  <c:x val="-1.5117157974300554E-3"/>
                  <c:y val="-4.08997911104894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193B-4AF4-8EAC-AB9AD2792935}"/>
                </c:ext>
              </c:extLst>
            </c:dLbl>
            <c:dLbl>
              <c:idx val="11"/>
              <c:layout>
                <c:manualLayout>
                  <c:x val="-2.8910671880300678E-3"/>
                  <c:y val="1.251683895927289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193B-4AF4-8EAC-AB9AD2792935}"/>
                </c:ext>
              </c:extLst>
            </c:dLbl>
            <c:dLbl>
              <c:idx val="12"/>
              <c:layout>
                <c:manualLayout>
                  <c:x val="-6.6525255771599984E-2"/>
                  <c:y val="-4.222050011319902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193B-4AF4-8EAC-AB9AD2792935}"/>
                </c:ext>
              </c:extLst>
            </c:dLbl>
            <c:dLbl>
              <c:idx val="13"/>
              <c:layout>
                <c:manualLayout>
                  <c:x val="-7.2552597591967666E-2"/>
                  <c:y val="-5.862303392503486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193B-4AF4-8EAC-AB9AD2792935}"/>
                </c:ext>
              </c:extLst>
            </c:dLbl>
            <c:dLbl>
              <c:idx val="14"/>
              <c:layout>
                <c:manualLayout>
                  <c:x val="-7.4088596068348653E-2"/>
                  <c:y val="-7.766698574228990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193B-4AF4-8EAC-AB9AD2792935}"/>
                </c:ext>
              </c:extLst>
            </c:dLbl>
            <c:dLbl>
              <c:idx val="15"/>
              <c:layout>
                <c:manualLayout>
                  <c:x val="-6.7825926521089624E-2"/>
                  <c:y val="-8.47636899168918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193B-4AF4-8EAC-AB9AD2792935}"/>
                </c:ext>
              </c:extLst>
            </c:dLbl>
            <c:dLbl>
              <c:idx val="16"/>
              <c:layout>
                <c:manualLayout>
                  <c:x val="-2.1164021164021163E-2"/>
                  <c:y val="-7.580642096662847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193B-4AF4-8EAC-AB9AD2792935}"/>
                </c:ext>
              </c:extLst>
            </c:dLbl>
            <c:dLbl>
              <c:idx val="17"/>
              <c:layout>
                <c:manualLayout>
                  <c:x val="-2.8676177382589633E-3"/>
                  <c:y val="-8.891056375048293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193B-4AF4-8EAC-AB9AD27929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'2024.12'!$A$2:$A$27</c15:sqref>
                  </c15:fullRef>
                </c:ext>
              </c:extLst>
              <c:f>'2024.12'!$A$3:$A$20</c:f>
              <c:strCache>
                <c:ptCount val="18"/>
                <c:pt idx="0">
                  <c:v>컴까기</c:v>
                </c:pt>
                <c:pt idx="1">
                  <c:v>디펜스</c:v>
                </c:pt>
                <c:pt idx="2">
                  <c:v>대전</c:v>
                </c:pt>
                <c:pt idx="3">
                  <c:v>RPG</c:v>
                </c:pt>
                <c:pt idx="4">
                  <c:v>캠페인</c:v>
                </c:pt>
                <c:pt idx="5">
                  <c:v>서바이벌</c:v>
                </c:pt>
                <c:pt idx="6">
                  <c:v>어드벤처</c:v>
                </c:pt>
                <c:pt idx="7">
                  <c:v>호환요청</c:v>
                </c:pt>
                <c:pt idx="8">
                  <c:v>블러드</c:v>
                </c:pt>
                <c:pt idx="9">
                  <c:v>공포</c:v>
                </c:pt>
                <c:pt idx="10">
                  <c:v>미니게임</c:v>
                </c:pt>
                <c:pt idx="11">
                  <c:v>오펜스</c:v>
                </c:pt>
                <c:pt idx="12">
                  <c:v>키우기</c:v>
                </c:pt>
                <c:pt idx="13">
                  <c:v>컨트롤</c:v>
                </c:pt>
                <c:pt idx="14">
                  <c:v>디플로메시</c:v>
                </c:pt>
                <c:pt idx="15">
                  <c:v>기타</c:v>
                </c:pt>
                <c:pt idx="16">
                  <c:v>밀리기반</c:v>
                </c:pt>
                <c:pt idx="17">
                  <c:v>퍼즐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'2024.12'!$B$2:$B$27</c15:sqref>
                  </c15:fullRef>
                </c:ext>
              </c:extLst>
              <c:f>'2024.12'!$B$3:$B$20</c:f>
              <c:numCache>
                <c:formatCode>General</c:formatCode>
                <c:ptCount val="18"/>
                <c:pt idx="0">
                  <c:v>19</c:v>
                </c:pt>
                <c:pt idx="1">
                  <c:v>14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'2024.12'!$B$2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'2024.12'!$B$21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7.5600311865778688E-2"/>
                        <c:y val="-0.10727607283855609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6C13-44BB-8468-E6B5ABA91BF5}"/>
                      </c:ext>
                    </c:extLst>
                  </c15:dLbl>
                </c15:categoryFilterException>
                <c15:categoryFilterException>
                  <c15:sqref>'2024.12'!$B$22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3.0234315948601664E-3"/>
                        <c:y val="-8.861621407272712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6C13-44BB-8468-E6B5ABA91BF5}"/>
                      </c:ext>
                    </c:extLst>
                  </c15:dLbl>
                </c15:categoryFilterException>
                <c15:categoryFilterException>
                  <c15:sqref>'2024.12'!$B$23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'2024.12'!$B$24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7.6785820756905487E-2"/>
                        <c:y val="-9.4926265331300955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F-6C13-44BB-8468-E6B5ABA91BF5}"/>
                      </c:ext>
                    </c:extLst>
                  </c15:dLbl>
                </c15:categoryFilterException>
                <c15:categoryFilterException>
                  <c15:sqref>'2024.12'!$B$25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'2024.12'!$B$27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5.5428938919270718E-17"/>
                        <c:y val="-9.5432845924475387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6C13-44BB-8468-E6B5ABA91BF5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5-193B-4AF4-8EAC-AB9AD2792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'2025.01'!$B$1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3C4-4DEB-B2EB-F067ED448A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C4-4DEB-B2EB-F067ED448A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3C4-4DEB-B2EB-F067ED448A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3C4-4DEB-B2EB-F067ED448A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3C4-4DEB-B2EB-F067ED448A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3C4-4DEB-B2EB-F067ED448A5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3C4-4DEB-B2EB-F067ED448A5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3C4-4DEB-B2EB-F067ED448A59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3C4-4DEB-B2EB-F067ED448A5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3C4-4DEB-B2EB-F067ED448A59}"/>
              </c:ext>
            </c:extLst>
          </c:dPt>
          <c:dPt>
            <c:idx val="10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3C4-4DEB-B2EB-F067ED448A5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3C4-4DEB-B2EB-F067ED448A59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3C4-4DEB-B2EB-F067ED448A59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3C4-4DEB-B2EB-F067ED448A5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3C4-4DEB-B2EB-F067ED448A59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3C4-4DEB-B2EB-F067ED448A59}"/>
              </c:ext>
            </c:extLst>
          </c:dPt>
          <c:dPt>
            <c:idx val="16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E3C4-4DEB-B2EB-F067ED448A59}"/>
              </c:ext>
            </c:extLst>
          </c:dPt>
          <c:dPt>
            <c:idx val="17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E3C4-4DEB-B2EB-F067ED448A59}"/>
              </c:ext>
            </c:extLst>
          </c:dPt>
          <c:dPt>
            <c:idx val="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E3C4-4DEB-B2EB-F067ED448A59}"/>
              </c:ext>
            </c:extLst>
          </c:dPt>
          <c:dPt>
            <c:idx val="19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5B27-49DF-BA7F-0F35968E5B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'2025.01'!$A$2:$A$28</c15:sqref>
                  </c15:fullRef>
                </c:ext>
              </c:extLst>
              <c:f>'2025.01'!$A$2:$A$21</c:f>
              <c:strCache>
                <c:ptCount val="20"/>
                <c:pt idx="0">
                  <c:v>맞히기</c:v>
                </c:pt>
                <c:pt idx="1">
                  <c:v>디펜스</c:v>
                </c:pt>
                <c:pt idx="2">
                  <c:v>컴까기</c:v>
                </c:pt>
                <c:pt idx="3">
                  <c:v>대전</c:v>
                </c:pt>
                <c:pt idx="4">
                  <c:v>호환요청</c:v>
                </c:pt>
                <c:pt idx="5">
                  <c:v>기타</c:v>
                </c:pt>
                <c:pt idx="6">
                  <c:v>서바이벌</c:v>
                </c:pt>
                <c:pt idx="7">
                  <c:v>RPG</c:v>
                </c:pt>
                <c:pt idx="8">
                  <c:v>어드벤처</c:v>
                </c:pt>
                <c:pt idx="9">
                  <c:v>캠페인</c:v>
                </c:pt>
                <c:pt idx="10">
                  <c:v>공포</c:v>
                </c:pt>
                <c:pt idx="11">
                  <c:v>밀리기반</c:v>
                </c:pt>
                <c:pt idx="12">
                  <c:v>퍼즐</c:v>
                </c:pt>
                <c:pt idx="13">
                  <c:v>블러드</c:v>
                </c:pt>
                <c:pt idx="14">
                  <c:v>키우기</c:v>
                </c:pt>
                <c:pt idx="15">
                  <c:v>컨트롤</c:v>
                </c:pt>
                <c:pt idx="16">
                  <c:v>탈출</c:v>
                </c:pt>
                <c:pt idx="17">
                  <c:v>영상</c:v>
                </c:pt>
                <c:pt idx="18">
                  <c:v>슈팅</c:v>
                </c:pt>
                <c:pt idx="19">
                  <c:v>AOS</c:v>
                </c:pt>
                <c:pt idx="20">
                  <c:v>레이싱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'2025.01'!$B$2:$B$27</c15:sqref>
                  </c15:fullRef>
                </c:ext>
              </c:extLst>
              <c:f>'2025.01'!$B$2:$B$21</c:f>
              <c:numCache>
                <c:formatCode>General</c:formatCode>
                <c:ptCount val="20"/>
                <c:pt idx="0">
                  <c:v>50</c:v>
                </c:pt>
                <c:pt idx="1">
                  <c:v>13</c:v>
                </c:pt>
                <c:pt idx="2">
                  <c:v>12</c:v>
                </c:pt>
                <c:pt idx="3">
                  <c:v>10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'2025.01'!$B$27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6-E3C4-4DEB-B2EB-F067ED448A59}"/>
            </c:ext>
          </c:extLst>
        </c:ser>
        <c:ser>
          <c:idx val="0"/>
          <c:order val="1"/>
          <c:tx>
            <c:strRef>
              <c:f>'2025.01'!$B$1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E3C4-4DEB-B2EB-F067ED448A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E3C4-4DEB-B2EB-F067ED448A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E3C4-4DEB-B2EB-F067ED448A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E3C4-4DEB-B2EB-F067ED448A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E3C4-4DEB-B2EB-F067ED448A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E3C4-4DEB-B2EB-F067ED448A5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E3C4-4DEB-B2EB-F067ED448A5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E3C4-4DEB-B2EB-F067ED448A59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E3C4-4DEB-B2EB-F067ED448A5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E3C4-4DEB-B2EB-F067ED448A59}"/>
              </c:ext>
            </c:extLst>
          </c:dPt>
          <c:dPt>
            <c:idx val="10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E3C4-4DEB-B2EB-F067ED448A5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E3C4-4DEB-B2EB-F067ED448A59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E3C4-4DEB-B2EB-F067ED448A59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E3C4-4DEB-B2EB-F067ED448A5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E3C4-4DEB-B2EB-F067ED448A59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E3C4-4DEB-B2EB-F067ED448A59}"/>
              </c:ext>
            </c:extLst>
          </c:dPt>
          <c:dPt>
            <c:idx val="16"/>
            <c:bubble3D val="0"/>
            <c:spPr>
              <a:solidFill>
                <a:schemeClr val="accent4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E3C4-4DEB-B2EB-F067ED448A59}"/>
              </c:ext>
            </c:extLst>
          </c:dPt>
          <c:dPt>
            <c:idx val="17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A-E3C4-4DEB-B2EB-F067ED448A59}"/>
              </c:ext>
            </c:extLst>
          </c:dPt>
          <c:dPt>
            <c:idx val="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C-E3C4-4DEB-B2EB-F067ED448A59}"/>
              </c:ext>
            </c:extLst>
          </c:dPt>
          <c:dPt>
            <c:idx val="19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F-5B27-49DF-BA7F-0F35968E5B04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3C4-4DEB-B2EB-F067ED448A59}"/>
                </c:ext>
              </c:extLst>
            </c:dLbl>
            <c:dLbl>
              <c:idx val="6"/>
              <c:layout>
                <c:manualLayout>
                  <c:x val="-3.0331922795364865E-3"/>
                  <c:y val="4.261736763996383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3C4-4DEB-B2EB-F067ED448A59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3C4-4DEB-B2EB-F067ED448A59}"/>
                </c:ext>
              </c:extLst>
            </c:dLbl>
            <c:dLbl>
              <c:idx val="8"/>
              <c:layout>
                <c:manualLayout>
                  <c:x val="-0.11490861261389945"/>
                  <c:y val="-3.624032803135349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3C4-4DEB-B2EB-F067ED448A59}"/>
                </c:ext>
              </c:extLst>
            </c:dLbl>
            <c:dLbl>
              <c:idx val="9"/>
              <c:layout>
                <c:manualLayout>
                  <c:x val="-3.02343159486016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3C4-4DEB-B2EB-F067ED448A59}"/>
                </c:ext>
              </c:extLst>
            </c:dLbl>
            <c:dLbl>
              <c:idx val="10"/>
              <c:layout>
                <c:manualLayout>
                  <c:x val="-3.3097648508222462E-3"/>
                  <c:y val="5.8623033925034871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213650665213309E-2"/>
                      <c:h val="2.6153370961229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C-E3C4-4DEB-B2EB-F067ED448A59}"/>
                </c:ext>
              </c:extLst>
            </c:dLbl>
            <c:dLbl>
              <c:idx val="11"/>
              <c:layout>
                <c:manualLayout>
                  <c:x val="-9.2214663643235079E-2"/>
                  <c:y val="-5.180640207328662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3C4-4DEB-B2EB-F067ED448A59}"/>
                </c:ext>
              </c:extLst>
            </c:dLbl>
            <c:dLbl>
              <c:idx val="12"/>
              <c:layout>
                <c:manualLayout>
                  <c:x val="-3.7138214866004436E-4"/>
                  <c:y val="-5.041087114300770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3C4-4DEB-B2EB-F067ED448A59}"/>
                </c:ext>
              </c:extLst>
            </c:dLbl>
            <c:dLbl>
              <c:idx val="13"/>
              <c:layout>
                <c:manualLayout>
                  <c:x val="-6.2091048142791677E-2"/>
                  <c:y val="-5.993236398323602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3C4-4DEB-B2EB-F067ED448A59}"/>
                </c:ext>
              </c:extLst>
            </c:dLbl>
            <c:dLbl>
              <c:idx val="14"/>
              <c:layout>
                <c:manualLayout>
                  <c:x val="-5.450163967599294E-2"/>
                  <c:y val="-7.514483195714305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3C4-4DEB-B2EB-F067ED448A59}"/>
                </c:ext>
              </c:extLst>
            </c:dLbl>
            <c:dLbl>
              <c:idx val="15"/>
              <c:layout>
                <c:manualLayout>
                  <c:x val="-3.3257747543461828E-2"/>
                  <c:y val="-0.102249477776223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3C4-4DEB-B2EB-F067ED448A59}"/>
                </c:ext>
              </c:extLst>
            </c:dLbl>
            <c:dLbl>
              <c:idx val="16"/>
              <c:layout>
                <c:manualLayout>
                  <c:x val="-9.1186562823649935E-3"/>
                  <c:y val="-8.936373536877216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E3C4-4DEB-B2EB-F067ED448A59}"/>
                </c:ext>
              </c:extLst>
            </c:dLbl>
            <c:dLbl>
              <c:idx val="17"/>
              <c:layout>
                <c:manualLayout>
                  <c:x val="-1.2013855410930831E-2"/>
                  <c:y val="-0.1095441326458590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E3C4-4DEB-B2EB-F067ED448A59}"/>
                </c:ext>
              </c:extLst>
            </c:dLbl>
            <c:dLbl>
              <c:idx val="18"/>
              <c:layout>
                <c:manualLayout>
                  <c:x val="4.1780491724248752E-5"/>
                  <c:y val="-7.890600251131159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E3C4-4DEB-B2EB-F067ED448A59}"/>
                </c:ext>
              </c:extLst>
            </c:dLbl>
            <c:dLbl>
              <c:idx val="19"/>
              <c:layout>
                <c:manualLayout>
                  <c:x val="6.040435421762756E-3"/>
                  <c:y val="-0.105941086480944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5B27-49DF-BA7F-0F35968E5B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'2025.01'!$A$2:$A$28</c15:sqref>
                  </c15:fullRef>
                </c:ext>
              </c:extLst>
              <c:f>'2025.01'!$A$2:$A$21</c:f>
              <c:strCache>
                <c:ptCount val="20"/>
                <c:pt idx="0">
                  <c:v>맞히기</c:v>
                </c:pt>
                <c:pt idx="1">
                  <c:v>디펜스</c:v>
                </c:pt>
                <c:pt idx="2">
                  <c:v>컴까기</c:v>
                </c:pt>
                <c:pt idx="3">
                  <c:v>대전</c:v>
                </c:pt>
                <c:pt idx="4">
                  <c:v>호환요청</c:v>
                </c:pt>
                <c:pt idx="5">
                  <c:v>기타</c:v>
                </c:pt>
                <c:pt idx="6">
                  <c:v>서바이벌</c:v>
                </c:pt>
                <c:pt idx="7">
                  <c:v>RPG</c:v>
                </c:pt>
                <c:pt idx="8">
                  <c:v>어드벤처</c:v>
                </c:pt>
                <c:pt idx="9">
                  <c:v>캠페인</c:v>
                </c:pt>
                <c:pt idx="10">
                  <c:v>공포</c:v>
                </c:pt>
                <c:pt idx="11">
                  <c:v>밀리기반</c:v>
                </c:pt>
                <c:pt idx="12">
                  <c:v>퍼즐</c:v>
                </c:pt>
                <c:pt idx="13">
                  <c:v>블러드</c:v>
                </c:pt>
                <c:pt idx="14">
                  <c:v>키우기</c:v>
                </c:pt>
                <c:pt idx="15">
                  <c:v>컨트롤</c:v>
                </c:pt>
                <c:pt idx="16">
                  <c:v>탈출</c:v>
                </c:pt>
                <c:pt idx="17">
                  <c:v>영상</c:v>
                </c:pt>
                <c:pt idx="18">
                  <c:v>슈팅</c:v>
                </c:pt>
                <c:pt idx="19">
                  <c:v>AOS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'2025.01'!$B$2:$B$28</c15:sqref>
                  </c15:fullRef>
                </c:ext>
              </c:extLst>
              <c:f>'2025.01'!$B$2:$B$21</c:f>
              <c:numCache>
                <c:formatCode>General</c:formatCode>
                <c:ptCount val="20"/>
                <c:pt idx="0">
                  <c:v>50</c:v>
                </c:pt>
                <c:pt idx="1">
                  <c:v>13</c:v>
                </c:pt>
                <c:pt idx="2">
                  <c:v>12</c:v>
                </c:pt>
                <c:pt idx="3">
                  <c:v>10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'2025.01'!$B$27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D-E3C4-4DEB-B2EB-F067ED448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'2025.01'!$B$1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1B-4B08-A9E8-54B67A9561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1B-4B08-A9E8-54B67A9561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1B-4B08-A9E8-54B67A9561D8}"/>
              </c:ext>
            </c:extLst>
          </c:dPt>
          <c:dPt>
            <c:idx val="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1B-4B08-A9E8-54B67A9561D8}"/>
              </c:ext>
            </c:extLst>
          </c:dPt>
          <c:dPt>
            <c:idx val="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1B-4B08-A9E8-54B67A9561D8}"/>
              </c:ext>
            </c:extLst>
          </c:dPt>
          <c:dPt>
            <c:idx val="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11B-4B08-A9E8-54B67A9561D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11B-4B08-A9E8-54B67A9561D8}"/>
              </c:ext>
            </c:extLst>
          </c:dPt>
          <c:dPt>
            <c:idx val="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11B-4B08-A9E8-54B67A9561D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11B-4B08-A9E8-54B67A9561D8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11B-4B08-A9E8-54B67A9561D8}"/>
              </c:ext>
            </c:extLst>
          </c:dPt>
          <c:dPt>
            <c:idx val="1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11B-4B08-A9E8-54B67A9561D8}"/>
              </c:ext>
            </c:extLst>
          </c:dPt>
          <c:dPt>
            <c:idx val="1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11B-4B08-A9E8-54B67A9561D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11B-4B08-A9E8-54B67A9561D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11B-4B08-A9E8-54B67A9561D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11B-4B08-A9E8-54B67A9561D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11B-4B08-A9E8-54B67A9561D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111B-4B08-A9E8-54B67A9561D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111B-4B08-A9E8-54B67A9561D8}"/>
              </c:ext>
            </c:extLst>
          </c:dPt>
          <c:dPt>
            <c:idx val="1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111B-4B08-A9E8-54B67A9561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'2025.01'!$A$2:$A$27</c15:sqref>
                  </c15:fullRef>
                </c:ext>
              </c:extLst>
              <c:f>'2025.01'!$A$3:$A$21</c:f>
              <c:strCache>
                <c:ptCount val="19"/>
                <c:pt idx="0">
                  <c:v>디펜스</c:v>
                </c:pt>
                <c:pt idx="1">
                  <c:v>컴까기</c:v>
                </c:pt>
                <c:pt idx="2">
                  <c:v>대전</c:v>
                </c:pt>
                <c:pt idx="3">
                  <c:v>호환요청</c:v>
                </c:pt>
                <c:pt idx="4">
                  <c:v>기타</c:v>
                </c:pt>
                <c:pt idx="5">
                  <c:v>서바이벌</c:v>
                </c:pt>
                <c:pt idx="6">
                  <c:v>RPG</c:v>
                </c:pt>
                <c:pt idx="7">
                  <c:v>어드벤처</c:v>
                </c:pt>
                <c:pt idx="8">
                  <c:v>캠페인</c:v>
                </c:pt>
                <c:pt idx="9">
                  <c:v>공포</c:v>
                </c:pt>
                <c:pt idx="10">
                  <c:v>밀리기반</c:v>
                </c:pt>
                <c:pt idx="11">
                  <c:v>퍼즐</c:v>
                </c:pt>
                <c:pt idx="12">
                  <c:v>블러드</c:v>
                </c:pt>
                <c:pt idx="13">
                  <c:v>키우기</c:v>
                </c:pt>
                <c:pt idx="14">
                  <c:v>컨트롤</c:v>
                </c:pt>
                <c:pt idx="15">
                  <c:v>탈출</c:v>
                </c:pt>
                <c:pt idx="16">
                  <c:v>영상</c:v>
                </c:pt>
                <c:pt idx="17">
                  <c:v>슈팅</c:v>
                </c:pt>
                <c:pt idx="18">
                  <c:v>AOS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'2025.01'!$B$2:$B$27</c15:sqref>
                  </c15:fullRef>
                </c:ext>
              </c:extLst>
              <c:f>'2025.01'!$B$3:$B$21</c:f>
              <c:numCache>
                <c:formatCode>General</c:formatCode>
                <c:ptCount val="19"/>
                <c:pt idx="0">
                  <c:v>13</c:v>
                </c:pt>
                <c:pt idx="1">
                  <c:v>12</c:v>
                </c:pt>
                <c:pt idx="2">
                  <c:v>10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'2025.01'!$B$2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'2025.01'!$B$22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'2025.01'!$B$23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'2025.01'!$B$24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'2025.01'!$B$25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'2025.01'!$B$26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'2025.01'!$B$27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4-111B-4B08-A9E8-54B67A9561D8}"/>
            </c:ext>
          </c:extLst>
        </c:ser>
        <c:ser>
          <c:idx val="0"/>
          <c:order val="1"/>
          <c:tx>
            <c:strRef>
              <c:f>'2025.01'!$B$1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111B-4B08-A9E8-54B67A9561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111B-4B08-A9E8-54B67A9561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111B-4B08-A9E8-54B67A9561D8}"/>
              </c:ext>
            </c:extLst>
          </c:dPt>
          <c:dPt>
            <c:idx val="3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111B-4B08-A9E8-54B67A9561D8}"/>
              </c:ext>
            </c:extLst>
          </c:dPt>
          <c:dPt>
            <c:idx val="4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111B-4B08-A9E8-54B67A9561D8}"/>
              </c:ext>
            </c:extLst>
          </c:dPt>
          <c:dPt>
            <c:idx val="5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111B-4B08-A9E8-54B67A9561D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111B-4B08-A9E8-54B67A9561D8}"/>
              </c:ext>
            </c:extLst>
          </c:dPt>
          <c:dPt>
            <c:idx val="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111B-4B08-A9E8-54B67A9561D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111B-4B08-A9E8-54B67A9561D8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111B-4B08-A9E8-54B67A9561D8}"/>
              </c:ext>
            </c:extLst>
          </c:dPt>
          <c:dPt>
            <c:idx val="10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111B-4B08-A9E8-54B67A9561D8}"/>
              </c:ext>
            </c:extLst>
          </c:dPt>
          <c:dPt>
            <c:idx val="11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111B-4B08-A9E8-54B67A9561D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111B-4B08-A9E8-54B67A9561D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111B-4B08-A9E8-54B67A9561D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111B-4B08-A9E8-54B67A9561D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111B-4B08-A9E8-54B67A9561D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111B-4B08-A9E8-54B67A9561D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111B-4B08-A9E8-54B67A9561D8}"/>
              </c:ext>
            </c:extLst>
          </c:dPt>
          <c:dPt>
            <c:idx val="18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5B-111B-4B08-A9E8-54B67A9561D8}"/>
              </c:ext>
            </c:extLst>
          </c:dPt>
          <c:dLbls>
            <c:dLbl>
              <c:idx val="3"/>
              <c:layout>
                <c:manualLayout>
                  <c:x val="1.0651691237508177E-3"/>
                  <c:y val="-3.54919166947962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111B-4B08-A9E8-54B67A9561D8}"/>
                </c:ext>
              </c:extLst>
            </c:dLbl>
            <c:dLbl>
              <c:idx val="4"/>
              <c:layout>
                <c:manualLayout>
                  <c:x val="-1.4233535745508193E-3"/>
                  <c:y val="-4.278938893167552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111B-4B08-A9E8-54B67A9561D8}"/>
                </c:ext>
              </c:extLst>
            </c:dLbl>
            <c:dLbl>
              <c:idx val="5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0-111B-4B08-A9E8-54B67A9561D8}"/>
                </c:ext>
              </c:extLst>
            </c:dLbl>
            <c:dLbl>
              <c:idx val="7"/>
              <c:layout>
                <c:manualLayout>
                  <c:x val="-3.0283119371983264E-3"/>
                  <c:y val="-1.299346644623053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111B-4B08-A9E8-54B67A9561D8}"/>
                </c:ext>
              </c:extLst>
            </c:dLbl>
            <c:dLbl>
              <c:idx val="10"/>
              <c:layout>
                <c:manualLayout>
                  <c:x val="-3.0541854711225746E-3"/>
                  <c:y val="8.4568820732202168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111B-4B08-A9E8-54B67A9561D8}"/>
                </c:ext>
              </c:extLst>
            </c:dLbl>
            <c:dLbl>
              <c:idx val="11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111B-4B08-A9E8-54B67A9561D8}"/>
                </c:ext>
              </c:extLst>
            </c:dLbl>
            <c:dLbl>
              <c:idx val="12"/>
              <c:layout>
                <c:manualLayout>
                  <c:x val="-4.5351473922902496E-3"/>
                  <c:y val="-4.08997911104899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111B-4B08-A9E8-54B67A9561D8}"/>
                </c:ext>
              </c:extLst>
            </c:dLbl>
            <c:dLbl>
              <c:idx val="13"/>
              <c:layout>
                <c:manualLayout>
                  <c:x val="-0.11632712985825761"/>
                  <c:y val="-7.671398979742111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111B-4B08-A9E8-54B67A9561D8}"/>
                </c:ext>
              </c:extLst>
            </c:dLbl>
            <c:dLbl>
              <c:idx val="14"/>
              <c:layout>
                <c:manualLayout>
                  <c:x val="-7.2552597591967666E-2"/>
                  <c:y val="-5.862303392503486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111B-4B08-A9E8-54B67A9561D8}"/>
                </c:ext>
              </c:extLst>
            </c:dLbl>
            <c:dLbl>
              <c:idx val="15"/>
              <c:layout>
                <c:manualLayout>
                  <c:x val="-7.6785820756905487E-2"/>
                  <c:y val="-9.492626533130095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111B-4B08-A9E8-54B67A9561D8}"/>
                </c:ext>
              </c:extLst>
            </c:dLbl>
            <c:dLbl>
              <c:idx val="18"/>
              <c:layout>
                <c:manualLayout>
                  <c:x val="5.5428938919270718E-17"/>
                  <c:y val="-9.543284592447538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111B-4B08-A9E8-54B67A9561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'2025.01'!$A$2:$A$27</c15:sqref>
                  </c15:fullRef>
                </c:ext>
              </c:extLst>
              <c:f>'2025.01'!$A$3:$A$21</c:f>
              <c:strCache>
                <c:ptCount val="19"/>
                <c:pt idx="0">
                  <c:v>디펜스</c:v>
                </c:pt>
                <c:pt idx="1">
                  <c:v>컴까기</c:v>
                </c:pt>
                <c:pt idx="2">
                  <c:v>대전</c:v>
                </c:pt>
                <c:pt idx="3">
                  <c:v>호환요청</c:v>
                </c:pt>
                <c:pt idx="4">
                  <c:v>기타</c:v>
                </c:pt>
                <c:pt idx="5">
                  <c:v>서바이벌</c:v>
                </c:pt>
                <c:pt idx="6">
                  <c:v>RPG</c:v>
                </c:pt>
                <c:pt idx="7">
                  <c:v>어드벤처</c:v>
                </c:pt>
                <c:pt idx="8">
                  <c:v>캠페인</c:v>
                </c:pt>
                <c:pt idx="9">
                  <c:v>공포</c:v>
                </c:pt>
                <c:pt idx="10">
                  <c:v>밀리기반</c:v>
                </c:pt>
                <c:pt idx="11">
                  <c:v>퍼즐</c:v>
                </c:pt>
                <c:pt idx="12">
                  <c:v>블러드</c:v>
                </c:pt>
                <c:pt idx="13">
                  <c:v>키우기</c:v>
                </c:pt>
                <c:pt idx="14">
                  <c:v>컨트롤</c:v>
                </c:pt>
                <c:pt idx="15">
                  <c:v>탈출</c:v>
                </c:pt>
                <c:pt idx="16">
                  <c:v>영상</c:v>
                </c:pt>
                <c:pt idx="17">
                  <c:v>슈팅</c:v>
                </c:pt>
                <c:pt idx="18">
                  <c:v>AOS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'2025.01'!$B$2:$B$27</c15:sqref>
                  </c15:fullRef>
                </c:ext>
              </c:extLst>
              <c:f>'2025.01'!$B$3:$B$21</c:f>
              <c:numCache>
                <c:formatCode>General</c:formatCode>
                <c:ptCount val="19"/>
                <c:pt idx="0">
                  <c:v>13</c:v>
                </c:pt>
                <c:pt idx="1">
                  <c:v>12</c:v>
                </c:pt>
                <c:pt idx="2">
                  <c:v>10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'2025.01'!$B$2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'2025.01'!$B$22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-1.5117157974300554E-3"/>
                        <c:y val="-4.089979111048944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B382-485E-8E28-D6DB48DDA7C1}"/>
                      </c:ext>
                    </c:extLst>
                  </c15:dLbl>
                </c15:categoryFilterException>
                <c15:categoryFilterException>
                  <c15:sqref>'2025.01'!$B$23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-2.8910671880300678E-3"/>
                        <c:y val="1.2516838959272898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F-B382-485E-8E28-D6DB48DDA7C1}"/>
                      </c:ext>
                    </c:extLst>
                  </c15:dLbl>
                </c15:categoryFilterException>
                <c15:categoryFilterException>
                  <c15:sqref>'2025.01'!$B$24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-7.4088596068348653E-2"/>
                        <c:y val="-7.766698574228990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B382-485E-8E28-D6DB48DDA7C1}"/>
                      </c:ext>
                    </c:extLst>
                  </c15:dLbl>
                </c15:categoryFilterException>
                <c15:categoryFilterException>
                  <c15:sqref>'2025.01'!$B$25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-7.5600311865778688E-2"/>
                        <c:y val="-0.10727607283855609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B382-485E-8E28-D6DB48DDA7C1}"/>
                      </c:ext>
                    </c:extLst>
                  </c15:dLbl>
                </c15:categoryFilterException>
                <c15:categoryFilterException>
                  <c15:sqref>'2025.01'!$B$26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-3.0234315948601664E-3"/>
                        <c:y val="-8.861621407272712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5-B382-485E-8E28-D6DB48DDA7C1}"/>
                      </c:ext>
                    </c:extLst>
                  </c15:dLbl>
                </c15:categoryFilterException>
                <c15:categoryFilterException>
                  <c15:sqref>'2025.01'!$B$27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9-111B-4B08-A9E8-54B67A956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'2025.02'!$B$1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CE-4718-9764-F69D0F3E0F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CE-4718-9764-F69D0F3E0F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CE-4718-9764-F69D0F3E0F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CE-4718-9764-F69D0F3E0F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CE-4718-9764-F69D0F3E0F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CE-4718-9764-F69D0F3E0F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CE-4718-9764-F69D0F3E0F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CE-4718-9764-F69D0F3E0FA3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CE-4718-9764-F69D0F3E0F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CE-4718-9764-F69D0F3E0FA3}"/>
              </c:ext>
            </c:extLst>
          </c:dPt>
          <c:dPt>
            <c:idx val="10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6CE-4718-9764-F69D0F3E0F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6CE-4718-9764-F69D0F3E0FA3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6CE-4718-9764-F69D0F3E0FA3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6CE-4718-9764-F69D0F3E0FA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6CE-4718-9764-F69D0F3E0FA3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6CE-4718-9764-F69D0F3E0FA3}"/>
              </c:ext>
            </c:extLst>
          </c:dPt>
          <c:dPt>
            <c:idx val="16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6CE-4718-9764-F69D0F3E0FA3}"/>
              </c:ext>
            </c:extLst>
          </c:dPt>
          <c:dPt>
            <c:idx val="17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6CE-4718-9764-F69D0F3E0F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'2025.02'!$A$2:$A$28</c15:sqref>
                  </c15:fullRef>
                </c:ext>
              </c:extLst>
              <c:f>'2025.02'!$A$2:$A$19</c:f>
              <c:strCache>
                <c:ptCount val="18"/>
                <c:pt idx="0">
                  <c:v>맞히기</c:v>
                </c:pt>
                <c:pt idx="1">
                  <c:v>디펜스</c:v>
                </c:pt>
                <c:pt idx="2">
                  <c:v>캠페인</c:v>
                </c:pt>
                <c:pt idx="3">
                  <c:v>대전</c:v>
                </c:pt>
                <c:pt idx="4">
                  <c:v>서바이벌</c:v>
                </c:pt>
                <c:pt idx="5">
                  <c:v>컴까기</c:v>
                </c:pt>
                <c:pt idx="6">
                  <c:v>키우기</c:v>
                </c:pt>
                <c:pt idx="7">
                  <c:v>RPG</c:v>
                </c:pt>
                <c:pt idx="8">
                  <c:v>밀리기반</c:v>
                </c:pt>
                <c:pt idx="9">
                  <c:v>미니게임</c:v>
                </c:pt>
                <c:pt idx="10">
                  <c:v>호환요청</c:v>
                </c:pt>
                <c:pt idx="11">
                  <c:v>기타</c:v>
                </c:pt>
                <c:pt idx="12">
                  <c:v>퍼즐</c:v>
                </c:pt>
                <c:pt idx="13">
                  <c:v>컨트롤</c:v>
                </c:pt>
                <c:pt idx="14">
                  <c:v>탈출</c:v>
                </c:pt>
                <c:pt idx="15">
                  <c:v>AOS</c:v>
                </c:pt>
                <c:pt idx="16">
                  <c:v>오펜스</c:v>
                </c:pt>
                <c:pt idx="17">
                  <c:v>레이싱</c:v>
                </c:pt>
                <c:pt idx="18">
                  <c:v>병맛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'2025.02'!$B$2:$B$27</c15:sqref>
                  </c15:fullRef>
                </c:ext>
              </c:extLst>
              <c:f>'2025.02'!$B$2:$B$19</c:f>
              <c:numCache>
                <c:formatCode>General</c:formatCode>
                <c:ptCount val="18"/>
                <c:pt idx="0">
                  <c:v>52</c:v>
                </c:pt>
                <c:pt idx="1">
                  <c:v>15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9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'2025.02'!$B$20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'2025.02'!$B$21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8-66CE-4718-9764-F69D0F3E0FA3}"/>
            </c:ext>
          </c:extLst>
        </c:ser>
        <c:ser>
          <c:idx val="0"/>
          <c:order val="1"/>
          <c:tx>
            <c:strRef>
              <c:f>'2025.02'!$B$1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66CE-4718-9764-F69D0F3E0F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66CE-4718-9764-F69D0F3E0F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66CE-4718-9764-F69D0F3E0F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66CE-4718-9764-F69D0F3E0F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66CE-4718-9764-F69D0F3E0F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66CE-4718-9764-F69D0F3E0F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66CE-4718-9764-F69D0F3E0F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66CE-4718-9764-F69D0F3E0FA3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66CE-4718-9764-F69D0F3E0F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66CE-4718-9764-F69D0F3E0FA3}"/>
              </c:ext>
            </c:extLst>
          </c:dPt>
          <c:dPt>
            <c:idx val="10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66CE-4718-9764-F69D0F3E0F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66CE-4718-9764-F69D0F3E0FA3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66CE-4718-9764-F69D0F3E0FA3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66CE-4718-9764-F69D0F3E0FA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66CE-4718-9764-F69D0F3E0FA3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66CE-4718-9764-F69D0F3E0FA3}"/>
              </c:ext>
            </c:extLst>
          </c:dPt>
          <c:dPt>
            <c:idx val="16"/>
            <c:bubble3D val="0"/>
            <c:spPr>
              <a:solidFill>
                <a:schemeClr val="accent4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A-66CE-4718-9764-F69D0F3E0FA3}"/>
              </c:ext>
            </c:extLst>
          </c:dPt>
          <c:dPt>
            <c:idx val="17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C-66CE-4718-9764-F69D0F3E0FA3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6CE-4718-9764-F69D0F3E0FA3}"/>
                </c:ext>
              </c:extLst>
            </c:dLbl>
            <c:dLbl>
              <c:idx val="6"/>
              <c:layout>
                <c:manualLayout>
                  <c:x val="-3.0331922795364865E-3"/>
                  <c:y val="4.261736763996383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6CE-4718-9764-F69D0F3E0FA3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6CE-4718-9764-F69D0F3E0FA3}"/>
                </c:ext>
              </c:extLst>
            </c:dLbl>
            <c:dLbl>
              <c:idx val="8"/>
              <c:layout>
                <c:manualLayout>
                  <c:x val="-0.12246719160104987"/>
                  <c:y val="-4.851026536450033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6CE-4718-9764-F69D0F3E0FA3}"/>
                </c:ext>
              </c:extLst>
            </c:dLbl>
            <c:dLbl>
              <c:idx val="9"/>
              <c:layout>
                <c:manualLayout>
                  <c:x val="-3.02343159486016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6CE-4718-9764-F69D0F3E0FA3}"/>
                </c:ext>
              </c:extLst>
            </c:dLbl>
            <c:dLbl>
              <c:idx val="10"/>
              <c:layout>
                <c:manualLayout>
                  <c:x val="-3.3097648508222462E-3"/>
                  <c:y val="5.8623033925034871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213650665213309E-2"/>
                      <c:h val="2.6153370961229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E-66CE-4718-9764-F69D0F3E0FA3}"/>
                </c:ext>
              </c:extLst>
            </c:dLbl>
            <c:dLbl>
              <c:idx val="11"/>
              <c:layout>
                <c:manualLayout>
                  <c:x val="-8.6167800453514742E-2"/>
                  <c:y val="-7.498295036923066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6CE-4718-9764-F69D0F3E0FA3}"/>
                </c:ext>
              </c:extLst>
            </c:dLbl>
            <c:dLbl>
              <c:idx val="12"/>
              <c:layout>
                <c:manualLayout>
                  <c:x val="-3.7138214866004436E-4"/>
                  <c:y val="-5.041087114300770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6CE-4718-9764-F69D0F3E0FA3}"/>
                </c:ext>
              </c:extLst>
            </c:dLbl>
            <c:dLbl>
              <c:idx val="13"/>
              <c:layout>
                <c:manualLayout>
                  <c:x val="-6.2091048142791677E-2"/>
                  <c:y val="-5.993236398323602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6CE-4718-9764-F69D0F3E0FA3}"/>
                </c:ext>
              </c:extLst>
            </c:dLbl>
            <c:dLbl>
              <c:idx val="14"/>
              <c:layout>
                <c:manualLayout>
                  <c:x val="-5.450163967599294E-2"/>
                  <c:y val="-7.514483195714305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6CE-4718-9764-F69D0F3E0FA3}"/>
                </c:ext>
              </c:extLst>
            </c:dLbl>
            <c:dLbl>
              <c:idx val="15"/>
              <c:layout>
                <c:manualLayout>
                  <c:x val="-4.6863189720332633E-2"/>
                  <c:y val="-0.102249477776223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6CE-4718-9764-F69D0F3E0FA3}"/>
                </c:ext>
              </c:extLst>
            </c:dLbl>
            <c:dLbl>
              <c:idx val="16"/>
              <c:layout>
                <c:manualLayout>
                  <c:x val="-9.1186562823649935E-3"/>
                  <c:y val="-8.936373536877216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6CE-4718-9764-F69D0F3E0FA3}"/>
                </c:ext>
              </c:extLst>
            </c:dLbl>
            <c:dLbl>
              <c:idx val="17"/>
              <c:layout>
                <c:manualLayout>
                  <c:x val="7.9870968509888641E-5"/>
                  <c:y val="-0.1095441326458590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6CE-4718-9764-F69D0F3E0F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'2025.02'!$A$2:$A$28</c15:sqref>
                  </c15:fullRef>
                </c:ext>
              </c:extLst>
              <c:f>'2025.02'!$A$2:$A$19</c:f>
              <c:strCache>
                <c:ptCount val="18"/>
                <c:pt idx="0">
                  <c:v>맞히기</c:v>
                </c:pt>
                <c:pt idx="1">
                  <c:v>디펜스</c:v>
                </c:pt>
                <c:pt idx="2">
                  <c:v>캠페인</c:v>
                </c:pt>
                <c:pt idx="3">
                  <c:v>대전</c:v>
                </c:pt>
                <c:pt idx="4">
                  <c:v>서바이벌</c:v>
                </c:pt>
                <c:pt idx="5">
                  <c:v>컴까기</c:v>
                </c:pt>
                <c:pt idx="6">
                  <c:v>키우기</c:v>
                </c:pt>
                <c:pt idx="7">
                  <c:v>RPG</c:v>
                </c:pt>
                <c:pt idx="8">
                  <c:v>밀리기반</c:v>
                </c:pt>
                <c:pt idx="9">
                  <c:v>미니게임</c:v>
                </c:pt>
                <c:pt idx="10">
                  <c:v>호환요청</c:v>
                </c:pt>
                <c:pt idx="11">
                  <c:v>기타</c:v>
                </c:pt>
                <c:pt idx="12">
                  <c:v>퍼즐</c:v>
                </c:pt>
                <c:pt idx="13">
                  <c:v>컨트롤</c:v>
                </c:pt>
                <c:pt idx="14">
                  <c:v>탈출</c:v>
                </c:pt>
                <c:pt idx="15">
                  <c:v>AOS</c:v>
                </c:pt>
                <c:pt idx="16">
                  <c:v>오펜스</c:v>
                </c:pt>
                <c:pt idx="17">
                  <c:v>레이싱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'2025.02'!$B$2:$B$28</c15:sqref>
                  </c15:fullRef>
                </c:ext>
              </c:extLst>
              <c:f>'2025.02'!$B$2:$B$19</c:f>
              <c:numCache>
                <c:formatCode>General</c:formatCode>
                <c:ptCount val="18"/>
                <c:pt idx="0">
                  <c:v>52</c:v>
                </c:pt>
                <c:pt idx="1">
                  <c:v>15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9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'2025.02'!$B$20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4.1780491724248752E-5"/>
                        <c:y val="-7.890600251131159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D-F1FC-4580-894D-26860384433C}"/>
                      </c:ext>
                    </c:extLst>
                  </c15:dLbl>
                </c15:categoryFilterException>
                <c15:categoryFilterException>
                  <c15:sqref>'2025.02'!$B$21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6.040435421762756E-3"/>
                        <c:y val="-0.1059410864809444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F-F1FC-4580-894D-26860384433C}"/>
                      </c:ext>
                    </c:extLst>
                  </c15:dLbl>
                </c15:categoryFilterException>
                <c15:categoryFilterException>
                  <c15:sqref>'2025.02'!$B$28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1-66CE-4718-9764-F69D0F3E0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'2025.02'!$B$1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11-44F8-A9A4-710EC9EA87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11-44F8-A9A4-710EC9EA87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11-44F8-A9A4-710EC9EA8778}"/>
              </c:ext>
            </c:extLst>
          </c:dPt>
          <c:dPt>
            <c:idx val="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011-44F8-A9A4-710EC9EA87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011-44F8-A9A4-710EC9EA87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011-44F8-A9A4-710EC9EA877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011-44F8-A9A4-710EC9EA8778}"/>
              </c:ext>
            </c:extLst>
          </c:dPt>
          <c:dPt>
            <c:idx val="7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011-44F8-A9A4-710EC9EA8778}"/>
              </c:ext>
            </c:extLst>
          </c:dPt>
          <c:dPt>
            <c:idx val="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011-44F8-A9A4-710EC9EA8778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011-44F8-A9A4-710EC9EA8778}"/>
              </c:ext>
            </c:extLst>
          </c:dPt>
          <c:dPt>
            <c:idx val="1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2011-44F8-A9A4-710EC9EA8778}"/>
              </c:ext>
            </c:extLst>
          </c:dPt>
          <c:dPt>
            <c:idx val="1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011-44F8-A9A4-710EC9EA877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011-44F8-A9A4-710EC9EA8778}"/>
              </c:ext>
            </c:extLst>
          </c:dPt>
          <c:dPt>
            <c:idx val="1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011-44F8-A9A4-710EC9EA877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011-44F8-A9A4-710EC9EA8778}"/>
              </c:ext>
            </c:extLst>
          </c:dPt>
          <c:dPt>
            <c:idx val="15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011-44F8-A9A4-710EC9EA877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2011-44F8-A9A4-710EC9EA87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'2025.02'!$A$2:$A$27</c15:sqref>
                  </c15:fullRef>
                </c:ext>
              </c:extLst>
              <c:f>'2025.02'!$A$3:$A$19</c:f>
              <c:strCache>
                <c:ptCount val="17"/>
                <c:pt idx="0">
                  <c:v>디펜스</c:v>
                </c:pt>
                <c:pt idx="1">
                  <c:v>캠페인</c:v>
                </c:pt>
                <c:pt idx="2">
                  <c:v>대전</c:v>
                </c:pt>
                <c:pt idx="3">
                  <c:v>서바이벌</c:v>
                </c:pt>
                <c:pt idx="4">
                  <c:v>컴까기</c:v>
                </c:pt>
                <c:pt idx="5">
                  <c:v>키우기</c:v>
                </c:pt>
                <c:pt idx="6">
                  <c:v>RPG</c:v>
                </c:pt>
                <c:pt idx="7">
                  <c:v>밀리기반</c:v>
                </c:pt>
                <c:pt idx="8">
                  <c:v>미니게임</c:v>
                </c:pt>
                <c:pt idx="9">
                  <c:v>호환요청</c:v>
                </c:pt>
                <c:pt idx="10">
                  <c:v>기타</c:v>
                </c:pt>
                <c:pt idx="11">
                  <c:v>퍼즐</c:v>
                </c:pt>
                <c:pt idx="12">
                  <c:v>컨트롤</c:v>
                </c:pt>
                <c:pt idx="13">
                  <c:v>탈출</c:v>
                </c:pt>
                <c:pt idx="14">
                  <c:v>AOS</c:v>
                </c:pt>
                <c:pt idx="15">
                  <c:v>오펜스</c:v>
                </c:pt>
                <c:pt idx="16">
                  <c:v>레이싱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'2025.02'!$B$2:$B$27</c15:sqref>
                  </c15:fullRef>
                </c:ext>
              </c:extLst>
              <c:f>'2025.02'!$B$3:$B$19</c:f>
              <c:numCache>
                <c:formatCode>General</c:formatCode>
                <c:ptCount val="17"/>
                <c:pt idx="0">
                  <c:v>15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'2025.02'!$B$2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'2025.02'!$B$20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'2025.02'!$B$21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'2025.02'!$B$22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'2025.02'!$B$23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'2025.02'!$B$24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'2025.02'!$B$25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'2025.02'!$B$26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'2025.02'!$B$27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6-2011-44F8-A9A4-710EC9EA8778}"/>
            </c:ext>
          </c:extLst>
        </c:ser>
        <c:ser>
          <c:idx val="0"/>
          <c:order val="1"/>
          <c:tx>
            <c:strRef>
              <c:f>'2025.02'!$B$1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2011-44F8-A9A4-710EC9EA87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2011-44F8-A9A4-710EC9EA87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2011-44F8-A9A4-710EC9EA8778}"/>
              </c:ext>
            </c:extLst>
          </c:dPt>
          <c:dPt>
            <c:idx val="3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2011-44F8-A9A4-710EC9EA87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2011-44F8-A9A4-710EC9EA87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2011-44F8-A9A4-710EC9EA877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2011-44F8-A9A4-710EC9EA8778}"/>
              </c:ext>
            </c:extLst>
          </c:dPt>
          <c:dPt>
            <c:idx val="7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2011-44F8-A9A4-710EC9EA8778}"/>
              </c:ext>
            </c:extLst>
          </c:dPt>
          <c:dPt>
            <c:idx val="8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2011-44F8-A9A4-710EC9EA8778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2011-44F8-A9A4-710EC9EA8778}"/>
              </c:ext>
            </c:extLst>
          </c:dPt>
          <c:dPt>
            <c:idx val="10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2011-44F8-A9A4-710EC9EA8778}"/>
              </c:ext>
            </c:extLst>
          </c:dPt>
          <c:dPt>
            <c:idx val="11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2011-44F8-A9A4-710EC9EA877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2011-44F8-A9A4-710EC9EA8778}"/>
              </c:ext>
            </c:extLst>
          </c:dPt>
          <c:dPt>
            <c:idx val="13"/>
            <c:bubble3D val="0"/>
            <c:spPr>
              <a:solidFill>
                <a:schemeClr val="accent4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2011-44F8-A9A4-710EC9EA877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2011-44F8-A9A4-710EC9EA8778}"/>
              </c:ext>
            </c:extLst>
          </c:dPt>
          <c:dPt>
            <c:idx val="15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2011-44F8-A9A4-710EC9EA877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2011-44F8-A9A4-710EC9EA8778}"/>
              </c:ext>
            </c:extLst>
          </c:dPt>
          <c:dLbls>
            <c:dLbl>
              <c:idx val="3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2011-44F8-A9A4-710EC9EA8778}"/>
                </c:ext>
              </c:extLst>
            </c:dLbl>
            <c:dLbl>
              <c:idx val="5"/>
              <c:layout>
                <c:manualLayout>
                  <c:x val="-1.0581869745679823E-3"/>
                  <c:y val="-6.1864903949455466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011-44F8-A9A4-710EC9EA8778}"/>
                </c:ext>
              </c:extLst>
            </c:dLbl>
            <c:dLbl>
              <c:idx val="7"/>
              <c:layout>
                <c:manualLayout>
                  <c:x val="-3.0541854711225746E-3"/>
                  <c:y val="8.4568820732202168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011-44F8-A9A4-710EC9EA8778}"/>
                </c:ext>
              </c:extLst>
            </c:dLbl>
            <c:dLbl>
              <c:idx val="8"/>
              <c:layout>
                <c:manualLayout>
                  <c:x val="-1.5117157974300554E-3"/>
                  <c:y val="-4.08997911104894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011-44F8-A9A4-710EC9EA8778}"/>
                </c:ext>
              </c:extLst>
            </c:dLbl>
            <c:dLbl>
              <c:idx val="9"/>
              <c:layout>
                <c:manualLayout>
                  <c:x val="1.0651691237508177E-3"/>
                  <c:y val="-3.54919166947962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011-44F8-A9A4-710EC9EA8778}"/>
                </c:ext>
              </c:extLst>
            </c:dLbl>
            <c:dLbl>
              <c:idx val="10"/>
              <c:layout>
                <c:manualLayout>
                  <c:x val="-1.4233535745508193E-3"/>
                  <c:y val="-4.278938893167552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011-44F8-A9A4-710EC9EA8778}"/>
                </c:ext>
              </c:extLst>
            </c:dLbl>
            <c:dLbl>
              <c:idx val="11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011-44F8-A9A4-710EC9EA8778}"/>
                </c:ext>
              </c:extLst>
            </c:dLbl>
            <c:dLbl>
              <c:idx val="12"/>
              <c:layout>
                <c:manualLayout>
                  <c:x val="-7.2552597591967666E-2"/>
                  <c:y val="-5.862303392503486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011-44F8-A9A4-710EC9EA8778}"/>
                </c:ext>
              </c:extLst>
            </c:dLbl>
            <c:dLbl>
              <c:idx val="13"/>
              <c:layout>
                <c:manualLayout>
                  <c:x val="-7.6785820756905487E-2"/>
                  <c:y val="-9.492626533130095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011-44F8-A9A4-710EC9EA8778}"/>
                </c:ext>
              </c:extLst>
            </c:dLbl>
            <c:dLbl>
              <c:idx val="14"/>
              <c:layout>
                <c:manualLayout>
                  <c:x val="-3.9237881976681384E-2"/>
                  <c:y val="-8.010237585373566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011-44F8-A9A4-710EC9EA8778}"/>
                </c:ext>
              </c:extLst>
            </c:dLbl>
            <c:dLbl>
              <c:idx val="15"/>
              <c:layout>
                <c:manualLayout>
                  <c:x val="-4.514721157334519E-2"/>
                  <c:y val="-0.1060612919242862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011-44F8-A9A4-710EC9EA8778}"/>
                </c:ext>
              </c:extLst>
            </c:dLbl>
            <c:dLbl>
              <c:idx val="16"/>
              <c:layout>
                <c:manualLayout>
                  <c:x val="-4.5274479203863691E-3"/>
                  <c:y val="-8.814994362749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011-44F8-A9A4-710EC9EA87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'2025.02'!$A$2:$A$27</c15:sqref>
                  </c15:fullRef>
                </c:ext>
              </c:extLst>
              <c:f>'2025.02'!$A$3:$A$19</c:f>
              <c:strCache>
                <c:ptCount val="17"/>
                <c:pt idx="0">
                  <c:v>디펜스</c:v>
                </c:pt>
                <c:pt idx="1">
                  <c:v>캠페인</c:v>
                </c:pt>
                <c:pt idx="2">
                  <c:v>대전</c:v>
                </c:pt>
                <c:pt idx="3">
                  <c:v>서바이벌</c:v>
                </c:pt>
                <c:pt idx="4">
                  <c:v>컴까기</c:v>
                </c:pt>
                <c:pt idx="5">
                  <c:v>키우기</c:v>
                </c:pt>
                <c:pt idx="6">
                  <c:v>RPG</c:v>
                </c:pt>
                <c:pt idx="7">
                  <c:v>밀리기반</c:v>
                </c:pt>
                <c:pt idx="8">
                  <c:v>미니게임</c:v>
                </c:pt>
                <c:pt idx="9">
                  <c:v>호환요청</c:v>
                </c:pt>
                <c:pt idx="10">
                  <c:v>기타</c:v>
                </c:pt>
                <c:pt idx="11">
                  <c:v>퍼즐</c:v>
                </c:pt>
                <c:pt idx="12">
                  <c:v>컨트롤</c:v>
                </c:pt>
                <c:pt idx="13">
                  <c:v>탈출</c:v>
                </c:pt>
                <c:pt idx="14">
                  <c:v>AOS</c:v>
                </c:pt>
                <c:pt idx="15">
                  <c:v>오펜스</c:v>
                </c:pt>
                <c:pt idx="16">
                  <c:v>레이싱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'2025.02'!$B$2:$B$27</c15:sqref>
                  </c15:fullRef>
                </c:ext>
              </c:extLst>
              <c:f>'2025.02'!$B$3:$B$19</c:f>
              <c:numCache>
                <c:formatCode>General</c:formatCode>
                <c:ptCount val="17"/>
                <c:pt idx="0">
                  <c:v>15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'2025.02'!$B$2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'2025.02'!$B$20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3.0283119371983264E-3"/>
                        <c:y val="-1.2993466446230531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0C7C-4418-9D8B-F9A737303882}"/>
                      </c:ext>
                    </c:extLst>
                  </c15:dLbl>
                </c15:categoryFilterException>
                <c15:categoryFilterException>
                  <c15:sqref>'2025.02'!$B$21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'2025.02'!$B$22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4.5351473922902496E-3"/>
                        <c:y val="-4.0899791110489943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0C7C-4418-9D8B-F9A737303882}"/>
                      </c:ext>
                    </c:extLst>
                  </c15:dLbl>
                </c15:categoryFilterException>
                <c15:categoryFilterException>
                  <c15:sqref>'2025.02'!$B$23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'2025.02'!$B$24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'2025.02'!$B$25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7.4088596068348653E-2"/>
                        <c:y val="-7.766698574228990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0C7C-4418-9D8B-F9A737303882}"/>
                      </c:ext>
                    </c:extLst>
                  </c15:dLbl>
                </c15:categoryFilterException>
                <c15:categoryFilterException>
                  <c15:sqref>'2025.02'!$B$26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7.5600311865778688E-2"/>
                        <c:y val="-0.10727607283855609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5-0C7C-4418-9D8B-F9A737303882}"/>
                      </c:ext>
                    </c:extLst>
                  </c15:dLbl>
                </c15:categoryFilterException>
                <c15:categoryFilterException>
                  <c15:sqref>'2025.02'!$B$27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3.0234315948601664E-3"/>
                        <c:y val="-8.861621407272712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7-0C7C-4418-9D8B-F9A73730388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D-2011-44F8-A9A4-710EC9EA8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'2025.03'!$B$1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3E-4006-B2B7-20E2474D97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3E-4006-B2B7-20E2474D97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3E-4006-B2B7-20E2474D97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B3E-4006-B2B7-20E2474D97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B3E-4006-B2B7-20E2474D978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B3E-4006-B2B7-20E2474D978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B3E-4006-B2B7-20E2474D978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B3E-4006-B2B7-20E2474D9784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B3E-4006-B2B7-20E2474D978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B3E-4006-B2B7-20E2474D978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B3E-4006-B2B7-20E2474D978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B3E-4006-B2B7-20E2474D9784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B3E-4006-B2B7-20E2474D9784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B3E-4006-B2B7-20E2474D978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B3E-4006-B2B7-20E2474D9784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B3E-4006-B2B7-20E2474D9784}"/>
              </c:ext>
            </c:extLst>
          </c:dPt>
          <c:dPt>
            <c:idx val="1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AB3E-4006-B2B7-20E2474D97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'2025.03'!$A$2:$A$28</c15:sqref>
                  </c15:fullRef>
                </c:ext>
              </c:extLst>
              <c:f>'2025.03'!$A$2:$A$18</c:f>
              <c:strCache>
                <c:ptCount val="17"/>
                <c:pt idx="0">
                  <c:v>맞히기</c:v>
                </c:pt>
                <c:pt idx="1">
                  <c:v>디펜스</c:v>
                </c:pt>
                <c:pt idx="2">
                  <c:v>대전</c:v>
                </c:pt>
                <c:pt idx="3">
                  <c:v>컴까기</c:v>
                </c:pt>
                <c:pt idx="4">
                  <c:v>RPG</c:v>
                </c:pt>
                <c:pt idx="5">
                  <c:v>캠페인</c:v>
                </c:pt>
                <c:pt idx="6">
                  <c:v>서바이벌</c:v>
                </c:pt>
                <c:pt idx="7">
                  <c:v>키우기</c:v>
                </c:pt>
                <c:pt idx="8">
                  <c:v>호환요청</c:v>
                </c:pt>
                <c:pt idx="9">
                  <c:v>퍼즐</c:v>
                </c:pt>
                <c:pt idx="10">
                  <c:v>어드벤처</c:v>
                </c:pt>
                <c:pt idx="11">
                  <c:v>밀리기반</c:v>
                </c:pt>
                <c:pt idx="12">
                  <c:v>미니게임</c:v>
                </c:pt>
                <c:pt idx="13">
                  <c:v>블러드</c:v>
                </c:pt>
                <c:pt idx="14">
                  <c:v>디플로메시</c:v>
                </c:pt>
                <c:pt idx="15">
                  <c:v>컨트롤</c:v>
                </c:pt>
                <c:pt idx="16">
                  <c:v>공포</c:v>
                </c:pt>
                <c:pt idx="17">
                  <c:v>병맛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'2025.03'!$B$2:$B$27</c15:sqref>
                  </c15:fullRef>
                </c:ext>
              </c:extLst>
              <c:f>'2025.03'!$B$2:$B$18</c:f>
              <c:numCache>
                <c:formatCode>General</c:formatCode>
                <c:ptCount val="17"/>
                <c:pt idx="0">
                  <c:v>61</c:v>
                </c:pt>
                <c:pt idx="1">
                  <c:v>20</c:v>
                </c:pt>
                <c:pt idx="2">
                  <c:v>19</c:v>
                </c:pt>
                <c:pt idx="3">
                  <c:v>11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'2025.03'!$B$19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4-AB3E-4006-B2B7-20E2474D9784}"/>
            </c:ext>
          </c:extLst>
        </c:ser>
        <c:ser>
          <c:idx val="0"/>
          <c:order val="1"/>
          <c:tx>
            <c:strRef>
              <c:f>'2025.03'!$B$1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AB3E-4006-B2B7-20E2474D97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AB3E-4006-B2B7-20E2474D97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AB3E-4006-B2B7-20E2474D97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AB3E-4006-B2B7-20E2474D97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AB3E-4006-B2B7-20E2474D978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AB3E-4006-B2B7-20E2474D978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AB3E-4006-B2B7-20E2474D978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AB3E-4006-B2B7-20E2474D9784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AB3E-4006-B2B7-20E2474D978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AB3E-4006-B2B7-20E2474D978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AB3E-4006-B2B7-20E2474D978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AB3E-4006-B2B7-20E2474D9784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AB3E-4006-B2B7-20E2474D9784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AB3E-4006-B2B7-20E2474D978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AB3E-4006-B2B7-20E2474D9784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AB3E-4006-B2B7-20E2474D9784}"/>
              </c:ext>
            </c:extLst>
          </c:dPt>
          <c:dPt>
            <c:idx val="16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AB3E-4006-B2B7-20E2474D9784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AB3E-4006-B2B7-20E2474D9784}"/>
                </c:ext>
              </c:extLst>
            </c:dLbl>
            <c:dLbl>
              <c:idx val="6"/>
              <c:layout>
                <c:manualLayout>
                  <c:x val="-3.0331922795364865E-3"/>
                  <c:y val="4.261736763996383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AB3E-4006-B2B7-20E2474D9784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AB3E-4006-B2B7-20E2474D9784}"/>
                </c:ext>
              </c:extLst>
            </c:dLbl>
            <c:dLbl>
              <c:idx val="8"/>
              <c:layout>
                <c:manualLayout>
                  <c:x val="-1.5299278066432172E-3"/>
                  <c:y val="-2.15716877261229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AB3E-4006-B2B7-20E2474D9784}"/>
                </c:ext>
              </c:extLst>
            </c:dLbl>
            <c:dLbl>
              <c:idx val="9"/>
              <c:layout>
                <c:manualLayout>
                  <c:x val="-3.02343159486016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AB3E-4006-B2B7-20E2474D9784}"/>
                </c:ext>
              </c:extLst>
            </c:dLbl>
            <c:dLbl>
              <c:idx val="10"/>
              <c:layout>
                <c:manualLayout>
                  <c:x val="-9.5196314746371011E-2"/>
                  <c:y val="-4.345951688222073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AB3E-4006-B2B7-20E2474D9784}"/>
                </c:ext>
              </c:extLst>
            </c:dLbl>
            <c:dLbl>
              <c:idx val="11"/>
              <c:layout>
                <c:manualLayout>
                  <c:x val="-0.10279667422524566"/>
                  <c:y val="-5.862303392503489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AB3E-4006-B2B7-20E2474D9784}"/>
                </c:ext>
              </c:extLst>
            </c:dLbl>
            <c:dLbl>
              <c:idx val="12"/>
              <c:layout>
                <c:manualLayout>
                  <c:x val="-3.7138214866004436E-4"/>
                  <c:y val="-5.041087114300770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AB3E-4006-B2B7-20E2474D9784}"/>
                </c:ext>
              </c:extLst>
            </c:dLbl>
            <c:dLbl>
              <c:idx val="13"/>
              <c:layout>
                <c:manualLayout>
                  <c:x val="-6.2091048142791677E-2"/>
                  <c:y val="-5.993236398323602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AB3E-4006-B2B7-20E2474D9784}"/>
                </c:ext>
              </c:extLst>
            </c:dLbl>
            <c:dLbl>
              <c:idx val="14"/>
              <c:layout>
                <c:manualLayout>
                  <c:x val="-5.450163967599294E-2"/>
                  <c:y val="-7.514483195714305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AB3E-4006-B2B7-20E2474D9784}"/>
                </c:ext>
              </c:extLst>
            </c:dLbl>
            <c:dLbl>
              <c:idx val="15"/>
              <c:layout>
                <c:manualLayout>
                  <c:x val="-4.6863189720332633E-2"/>
                  <c:y val="-0.102249477776223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AB3E-4006-B2B7-20E2474D9784}"/>
                </c:ext>
              </c:extLst>
            </c:dLbl>
            <c:dLbl>
              <c:idx val="16"/>
              <c:layout>
                <c:manualLayout>
                  <c:x val="6.040435421762756E-3"/>
                  <c:y val="-0.105941086480944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AB3E-4006-B2B7-20E2474D97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'2025.03'!$A$2:$A$28</c15:sqref>
                  </c15:fullRef>
                </c:ext>
              </c:extLst>
              <c:f>'2025.03'!$A$2:$A$18</c:f>
              <c:strCache>
                <c:ptCount val="17"/>
                <c:pt idx="0">
                  <c:v>맞히기</c:v>
                </c:pt>
                <c:pt idx="1">
                  <c:v>디펜스</c:v>
                </c:pt>
                <c:pt idx="2">
                  <c:v>대전</c:v>
                </c:pt>
                <c:pt idx="3">
                  <c:v>컴까기</c:v>
                </c:pt>
                <c:pt idx="4">
                  <c:v>RPG</c:v>
                </c:pt>
                <c:pt idx="5">
                  <c:v>캠페인</c:v>
                </c:pt>
                <c:pt idx="6">
                  <c:v>서바이벌</c:v>
                </c:pt>
                <c:pt idx="7">
                  <c:v>키우기</c:v>
                </c:pt>
                <c:pt idx="8">
                  <c:v>호환요청</c:v>
                </c:pt>
                <c:pt idx="9">
                  <c:v>퍼즐</c:v>
                </c:pt>
                <c:pt idx="10">
                  <c:v>어드벤처</c:v>
                </c:pt>
                <c:pt idx="11">
                  <c:v>밀리기반</c:v>
                </c:pt>
                <c:pt idx="12">
                  <c:v>미니게임</c:v>
                </c:pt>
                <c:pt idx="13">
                  <c:v>블러드</c:v>
                </c:pt>
                <c:pt idx="14">
                  <c:v>디플로메시</c:v>
                </c:pt>
                <c:pt idx="15">
                  <c:v>컨트롤</c:v>
                </c:pt>
                <c:pt idx="16">
                  <c:v>공포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'2025.03'!$B$2:$B$28</c15:sqref>
                  </c15:fullRef>
                </c:ext>
              </c:extLst>
              <c:f>'2025.03'!$B$2:$B$18</c:f>
              <c:numCache>
                <c:formatCode>General</c:formatCode>
                <c:ptCount val="17"/>
                <c:pt idx="0">
                  <c:v>61</c:v>
                </c:pt>
                <c:pt idx="1">
                  <c:v>20</c:v>
                </c:pt>
                <c:pt idx="2">
                  <c:v>19</c:v>
                </c:pt>
                <c:pt idx="3">
                  <c:v>11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'2025.03'!$B$19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7.9870968509888641E-5"/>
                        <c:y val="-0.10954413264585901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7-6D42-4536-B3C0-D794676D08BF}"/>
                      </c:ext>
                    </c:extLst>
                  </c15:dLbl>
                </c15:categoryFilterException>
                <c15:categoryFilterException>
                  <c15:sqref>'2025.03'!$B$28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9-AB3E-4006-B2B7-20E2474D9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'2025.03'!$B$1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01-41DA-9394-4336E3FBA3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01-41DA-9394-4336E3FBA3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01-41DA-9394-4336E3FBA3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D01-41DA-9394-4336E3FBA3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D01-41DA-9394-4336E3FBA378}"/>
              </c:ext>
            </c:extLst>
          </c:dPt>
          <c:dPt>
            <c:idx val="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D01-41DA-9394-4336E3FBA37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D01-41DA-9394-4336E3FBA378}"/>
              </c:ext>
            </c:extLst>
          </c:dPt>
          <c:dPt>
            <c:idx val="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D01-41DA-9394-4336E3FBA378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D01-41DA-9394-4336E3FBA378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D01-41DA-9394-4336E3FBA378}"/>
              </c:ext>
            </c:extLst>
          </c:dPt>
          <c:dPt>
            <c:idx val="1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2D01-41DA-9394-4336E3FBA378}"/>
              </c:ext>
            </c:extLst>
          </c:dPt>
          <c:dPt>
            <c:idx val="11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D01-41DA-9394-4336E3FBA378}"/>
              </c:ext>
            </c:extLst>
          </c:dPt>
          <c:dPt>
            <c:idx val="1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D01-41DA-9394-4336E3FBA378}"/>
              </c:ext>
            </c:extLst>
          </c:dPt>
          <c:dPt>
            <c:idx val="13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D01-41DA-9394-4336E3FBA37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D01-41DA-9394-4336E3FBA378}"/>
              </c:ext>
            </c:extLst>
          </c:dPt>
          <c:dPt>
            <c:idx val="1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D01-41DA-9394-4336E3FBA3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'2025.03'!$A$2:$A$27</c15:sqref>
                  </c15:fullRef>
                </c:ext>
              </c:extLst>
              <c:f>'2025.03'!$A$3:$A$18</c:f>
              <c:strCache>
                <c:ptCount val="16"/>
                <c:pt idx="0">
                  <c:v>디펜스</c:v>
                </c:pt>
                <c:pt idx="1">
                  <c:v>대전</c:v>
                </c:pt>
                <c:pt idx="2">
                  <c:v>컴까기</c:v>
                </c:pt>
                <c:pt idx="3">
                  <c:v>RPG</c:v>
                </c:pt>
                <c:pt idx="4">
                  <c:v>캠페인</c:v>
                </c:pt>
                <c:pt idx="5">
                  <c:v>서바이벌</c:v>
                </c:pt>
                <c:pt idx="6">
                  <c:v>키우기</c:v>
                </c:pt>
                <c:pt idx="7">
                  <c:v>호환요청</c:v>
                </c:pt>
                <c:pt idx="8">
                  <c:v>퍼즐</c:v>
                </c:pt>
                <c:pt idx="9">
                  <c:v>어드벤처</c:v>
                </c:pt>
                <c:pt idx="10">
                  <c:v>밀리기반</c:v>
                </c:pt>
                <c:pt idx="11">
                  <c:v>미니게임</c:v>
                </c:pt>
                <c:pt idx="12">
                  <c:v>블러드</c:v>
                </c:pt>
                <c:pt idx="13">
                  <c:v>디플로메시</c:v>
                </c:pt>
                <c:pt idx="14">
                  <c:v>컨트롤</c:v>
                </c:pt>
                <c:pt idx="15">
                  <c:v>공포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'2025.03'!$B$2:$B$27</c15:sqref>
                  </c15:fullRef>
                </c:ext>
              </c:extLst>
              <c:f>'2025.03'!$B$3:$B$18</c:f>
              <c:numCache>
                <c:formatCode>General</c:formatCode>
                <c:ptCount val="16"/>
                <c:pt idx="0">
                  <c:v>20</c:v>
                </c:pt>
                <c:pt idx="1">
                  <c:v>19</c:v>
                </c:pt>
                <c:pt idx="2">
                  <c:v>11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'2025.03'!$B$2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'2025.03'!$B$19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'2025.03'!$B$20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'2025.03'!$B$21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'2025.03'!$B$22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'2025.03'!$B$23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'2025.03'!$B$24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'2025.03'!$B$25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'2025.03'!$B$26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'2025.03'!$B$27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2-2D01-41DA-9394-4336E3FBA378}"/>
            </c:ext>
          </c:extLst>
        </c:ser>
        <c:ser>
          <c:idx val="0"/>
          <c:order val="1"/>
          <c:tx>
            <c:strRef>
              <c:f>'2025.03'!$B$1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2D01-41DA-9394-4336E3FBA3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2D01-41DA-9394-4336E3FBA3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2D01-41DA-9394-4336E3FBA3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2D01-41DA-9394-4336E3FBA3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2D01-41DA-9394-4336E3FBA378}"/>
              </c:ext>
            </c:extLst>
          </c:dPt>
          <c:dPt>
            <c:idx val="5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2D01-41DA-9394-4336E3FBA37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2D01-41DA-9394-4336E3FBA378}"/>
              </c:ext>
            </c:extLst>
          </c:dPt>
          <c:dPt>
            <c:idx val="7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2D01-41DA-9394-4336E3FBA378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2D01-41DA-9394-4336E3FBA378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2D01-41DA-9394-4336E3FBA378}"/>
              </c:ext>
            </c:extLst>
          </c:dPt>
          <c:dPt>
            <c:idx val="10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2D01-41DA-9394-4336E3FBA378}"/>
              </c:ext>
            </c:extLst>
          </c:dPt>
          <c:dPt>
            <c:idx val="11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2D01-41DA-9394-4336E3FBA378}"/>
              </c:ext>
            </c:extLst>
          </c:dPt>
          <c:dPt>
            <c:idx val="12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2D01-41DA-9394-4336E3FBA378}"/>
              </c:ext>
            </c:extLst>
          </c:dPt>
          <c:dPt>
            <c:idx val="13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2D01-41DA-9394-4336E3FBA37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2D01-41DA-9394-4336E3FBA378}"/>
              </c:ext>
            </c:extLst>
          </c:dPt>
          <c:dPt>
            <c:idx val="1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2D01-41DA-9394-4336E3FBA378}"/>
              </c:ext>
            </c:extLst>
          </c:dPt>
          <c:dLbls>
            <c:dLbl>
              <c:idx val="5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2D01-41DA-9394-4336E3FBA378}"/>
                </c:ext>
              </c:extLst>
            </c:dLbl>
            <c:dLbl>
              <c:idx val="6"/>
              <c:layout>
                <c:manualLayout>
                  <c:x val="-1.0581869745679823E-3"/>
                  <c:y val="-6.1864903949455466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D01-41DA-9394-4336E3FBA378}"/>
                </c:ext>
              </c:extLst>
            </c:dLbl>
            <c:dLbl>
              <c:idx val="7"/>
              <c:layout>
                <c:manualLayout>
                  <c:x val="1.0651691237508177E-3"/>
                  <c:y val="-3.54919166947962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D01-41DA-9394-4336E3FBA378}"/>
                </c:ext>
              </c:extLst>
            </c:dLbl>
            <c:dLbl>
              <c:idx val="8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D01-41DA-9394-4336E3FBA378}"/>
                </c:ext>
              </c:extLst>
            </c:dLbl>
            <c:dLbl>
              <c:idx val="9"/>
              <c:layout>
                <c:manualLayout>
                  <c:x val="-3.0283119371983264E-3"/>
                  <c:y val="-1.299346644623053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D01-41DA-9394-4336E3FBA378}"/>
                </c:ext>
              </c:extLst>
            </c:dLbl>
            <c:dLbl>
              <c:idx val="10"/>
              <c:layout>
                <c:manualLayout>
                  <c:x val="-3.0541854711225746E-3"/>
                  <c:y val="8.4568820732202168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D01-41DA-9394-4336E3FBA378}"/>
                </c:ext>
              </c:extLst>
            </c:dLbl>
            <c:dLbl>
              <c:idx val="11"/>
              <c:layout>
                <c:manualLayout>
                  <c:x val="-1.5117157974300554E-3"/>
                  <c:y val="-4.08997911104894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D01-41DA-9394-4336E3FBA378}"/>
                </c:ext>
              </c:extLst>
            </c:dLbl>
            <c:dLbl>
              <c:idx val="12"/>
              <c:layout>
                <c:manualLayout>
                  <c:x val="-4.5351473922902496E-3"/>
                  <c:y val="-4.08997911104899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D01-41DA-9394-4336E3FBA378}"/>
                </c:ext>
              </c:extLst>
            </c:dLbl>
            <c:dLbl>
              <c:idx val="13"/>
              <c:layout>
                <c:manualLayout>
                  <c:x val="-7.4088596068348653E-2"/>
                  <c:y val="-7.766698574228990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D01-41DA-9394-4336E3FBA378}"/>
                </c:ext>
              </c:extLst>
            </c:dLbl>
            <c:dLbl>
              <c:idx val="14"/>
              <c:layout>
                <c:manualLayout>
                  <c:x val="-9.1683791154175357E-3"/>
                  <c:y val="-8.800639693166170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D01-41DA-9394-4336E3FBA3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'2025.03'!$A$2:$A$27</c15:sqref>
                  </c15:fullRef>
                </c:ext>
              </c:extLst>
              <c:f>'2025.03'!$A$3:$A$18</c:f>
              <c:strCache>
                <c:ptCount val="16"/>
                <c:pt idx="0">
                  <c:v>디펜스</c:v>
                </c:pt>
                <c:pt idx="1">
                  <c:v>대전</c:v>
                </c:pt>
                <c:pt idx="2">
                  <c:v>컴까기</c:v>
                </c:pt>
                <c:pt idx="3">
                  <c:v>RPG</c:v>
                </c:pt>
                <c:pt idx="4">
                  <c:v>캠페인</c:v>
                </c:pt>
                <c:pt idx="5">
                  <c:v>서바이벌</c:v>
                </c:pt>
                <c:pt idx="6">
                  <c:v>키우기</c:v>
                </c:pt>
                <c:pt idx="7">
                  <c:v>호환요청</c:v>
                </c:pt>
                <c:pt idx="8">
                  <c:v>퍼즐</c:v>
                </c:pt>
                <c:pt idx="9">
                  <c:v>어드벤처</c:v>
                </c:pt>
                <c:pt idx="10">
                  <c:v>밀리기반</c:v>
                </c:pt>
                <c:pt idx="11">
                  <c:v>미니게임</c:v>
                </c:pt>
                <c:pt idx="12">
                  <c:v>블러드</c:v>
                </c:pt>
                <c:pt idx="13">
                  <c:v>디플로메시</c:v>
                </c:pt>
                <c:pt idx="14">
                  <c:v>컨트롤</c:v>
                </c:pt>
                <c:pt idx="15">
                  <c:v>공포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'2025.03'!$B$2:$B$27</c15:sqref>
                  </c15:fullRef>
                </c:ext>
              </c:extLst>
              <c:f>'2025.03'!$B$3:$B$18</c:f>
              <c:numCache>
                <c:formatCode>General</c:formatCode>
                <c:ptCount val="16"/>
                <c:pt idx="0">
                  <c:v>20</c:v>
                </c:pt>
                <c:pt idx="1">
                  <c:v>19</c:v>
                </c:pt>
                <c:pt idx="2">
                  <c:v>11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'2025.03'!$B$2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'2025.03'!$B$19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1.4233535745508193E-3"/>
                        <c:y val="-4.2789388931675524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FB21-43E9-838D-6D7126A112F0}"/>
                      </c:ext>
                    </c:extLst>
                  </c15:dLbl>
                </c15:categoryFilterException>
                <c15:categoryFilterException>
                  <c15:sqref>'2025.03'!$B$20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7.6785820756905487E-2"/>
                        <c:y val="-9.4926265331300955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FB21-43E9-838D-6D7126A112F0}"/>
                      </c:ext>
                    </c:extLst>
                  </c15:dLbl>
                </c15:categoryFilterException>
                <c15:categoryFilterException>
                  <c15:sqref>'2025.03'!$B$21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3.9237881976681384E-2"/>
                        <c:y val="-8.010237585373566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FB21-43E9-838D-6D7126A112F0}"/>
                      </c:ext>
                    </c:extLst>
                  </c15:dLbl>
                </c15:categoryFilterException>
                <c15:categoryFilterException>
                  <c15:sqref>'2025.03'!$B$22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4.514721157334519E-2"/>
                        <c:y val="-0.1060612919242862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FB21-43E9-838D-6D7126A112F0}"/>
                      </c:ext>
                    </c:extLst>
                  </c15:dLbl>
                </c15:categoryFilterException>
                <c15:categoryFilterException>
                  <c15:sqref>'2025.03'!$B$23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4.5274479203863691E-3"/>
                        <c:y val="-8.8149943627492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F-FB21-43E9-838D-6D7126A112F0}"/>
                      </c:ext>
                    </c:extLst>
                  </c15:dLbl>
                </c15:categoryFilterException>
                <c15:categoryFilterException>
                  <c15:sqref>'2025.03'!$B$24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'2025.03'!$B$25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'2025.03'!$B$26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7.5600311865778688E-2"/>
                        <c:y val="-0.10727607283855609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5-FB21-43E9-838D-6D7126A112F0}"/>
                      </c:ext>
                    </c:extLst>
                  </c15:dLbl>
                </c15:categoryFilterException>
                <c15:categoryFilterException>
                  <c15:sqref>'2025.03'!$B$27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3.0234315948601664E-3"/>
                        <c:y val="-8.861621407272712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7-FB21-43E9-838D-6D7126A112F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5-2D01-41DA-9394-4336E3FBA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'2025.04'!$B$1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CF-4CCE-B7CE-C5387A42F8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FCF-4CCE-B7CE-C5387A42F8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FCF-4CCE-B7CE-C5387A42F8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FCF-4CCE-B7CE-C5387A42F8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FCF-4CCE-B7CE-C5387A42F8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FCF-4CCE-B7CE-C5387A42F8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FCF-4CCE-B7CE-C5387A42F8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FCF-4CCE-B7CE-C5387A42F8FF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FCF-4CCE-B7CE-C5387A42F8F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FCF-4CCE-B7CE-C5387A42F8F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FCF-4CCE-B7CE-C5387A42F8F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FCF-4CCE-B7CE-C5387A42F8FF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FCF-4CCE-B7CE-C5387A42F8FF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FCF-4CCE-B7CE-C5387A42F8F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FCF-4CCE-B7CE-C5387A42F8FF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FCF-4CCE-B7CE-C5387A42F8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'2025.04'!$A$2:$A$28</c15:sqref>
                  </c15:fullRef>
                </c:ext>
              </c:extLst>
              <c:f>'2025.04'!$A$2:$A$17</c:f>
              <c:strCache>
                <c:ptCount val="16"/>
                <c:pt idx="0">
                  <c:v>맞히기</c:v>
                </c:pt>
                <c:pt idx="1">
                  <c:v>대전</c:v>
                </c:pt>
                <c:pt idx="2">
                  <c:v>디펜스</c:v>
                </c:pt>
                <c:pt idx="3">
                  <c:v>컴까기</c:v>
                </c:pt>
                <c:pt idx="4">
                  <c:v>RPG</c:v>
                </c:pt>
                <c:pt idx="5">
                  <c:v>키우기</c:v>
                </c:pt>
                <c:pt idx="6">
                  <c:v>호환요청</c:v>
                </c:pt>
                <c:pt idx="7">
                  <c:v>서바이벌</c:v>
                </c:pt>
                <c:pt idx="8">
                  <c:v>퍼즐</c:v>
                </c:pt>
                <c:pt idx="9">
                  <c:v>캠페인</c:v>
                </c:pt>
                <c:pt idx="10">
                  <c:v>미니게임</c:v>
                </c:pt>
                <c:pt idx="11">
                  <c:v>컨트롤</c:v>
                </c:pt>
                <c:pt idx="12">
                  <c:v>탈출</c:v>
                </c:pt>
                <c:pt idx="13">
                  <c:v>밀리기반</c:v>
                </c:pt>
                <c:pt idx="14">
                  <c:v>슈팅</c:v>
                </c:pt>
                <c:pt idx="15">
                  <c:v>리듬게임</c:v>
                </c:pt>
                <c:pt idx="16">
                  <c:v>병맛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'2025.04'!$B$2:$B$27</c15:sqref>
                  </c15:fullRef>
                </c:ext>
              </c:extLst>
              <c:f>'2025.04'!$B$2:$B$17</c:f>
              <c:numCache>
                <c:formatCode>General</c:formatCode>
                <c:ptCount val="16"/>
                <c:pt idx="0">
                  <c:v>44</c:v>
                </c:pt>
                <c:pt idx="1">
                  <c:v>12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'2025.04'!$B$18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'2025.04'!$B$22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2-EFCF-4CCE-B7CE-C5387A42F8FF}"/>
            </c:ext>
          </c:extLst>
        </c:ser>
        <c:ser>
          <c:idx val="0"/>
          <c:order val="1"/>
          <c:tx>
            <c:strRef>
              <c:f>'2025.04'!$B$1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EFCF-4CCE-B7CE-C5387A42F8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EFCF-4CCE-B7CE-C5387A42F8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EFCF-4CCE-B7CE-C5387A42F8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EFCF-4CCE-B7CE-C5387A42F8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EFCF-4CCE-B7CE-C5387A42F8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EFCF-4CCE-B7CE-C5387A42F8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EFCF-4CCE-B7CE-C5387A42F8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EFCF-4CCE-B7CE-C5387A42F8FF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EFCF-4CCE-B7CE-C5387A42F8F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EFCF-4CCE-B7CE-C5387A42F8F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EFCF-4CCE-B7CE-C5387A42F8F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EFCF-4CCE-B7CE-C5387A42F8FF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EFCF-4CCE-B7CE-C5387A42F8FF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EFCF-4CCE-B7CE-C5387A42F8F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EFCF-4CCE-B7CE-C5387A42F8FF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EFCF-4CCE-B7CE-C5387A42F8FF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FCF-4CCE-B7CE-C5387A42F8FF}"/>
                </c:ext>
              </c:extLst>
            </c:dLbl>
            <c:dLbl>
              <c:idx val="6"/>
              <c:layout>
                <c:manualLayout>
                  <c:x val="-3.0331922795364865E-3"/>
                  <c:y val="4.261736763996383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FCF-4CCE-B7CE-C5387A42F8FF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FCF-4CCE-B7CE-C5387A42F8FF}"/>
                </c:ext>
              </c:extLst>
            </c:dLbl>
            <c:dLbl>
              <c:idx val="8"/>
              <c:layout>
                <c:manualLayout>
                  <c:x val="-1.5299278066432172E-3"/>
                  <c:y val="-2.15716877261229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FCF-4CCE-B7CE-C5387A42F8FF}"/>
                </c:ext>
              </c:extLst>
            </c:dLbl>
            <c:dLbl>
              <c:idx val="9"/>
              <c:layout>
                <c:manualLayout>
                  <c:x val="-3.02343159486016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FCF-4CCE-B7CE-C5387A42F8FF}"/>
                </c:ext>
              </c:extLst>
            </c:dLbl>
            <c:dLbl>
              <c:idx val="10"/>
              <c:layout>
                <c:manualLayout>
                  <c:x val="-9.5196314746371011E-2"/>
                  <c:y val="-4.345951688222073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FCF-4CCE-B7CE-C5387A42F8FF}"/>
                </c:ext>
              </c:extLst>
            </c:dLbl>
            <c:dLbl>
              <c:idx val="11"/>
              <c:layout>
                <c:manualLayout>
                  <c:x val="-0.10279667422524566"/>
                  <c:y val="-5.862303392503489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FCF-4CCE-B7CE-C5387A42F8FF}"/>
                </c:ext>
              </c:extLst>
            </c:dLbl>
            <c:dLbl>
              <c:idx val="12"/>
              <c:layout>
                <c:manualLayout>
                  <c:x val="-3.7138214866004436E-4"/>
                  <c:y val="-5.041087114300770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FCF-4CCE-B7CE-C5387A42F8FF}"/>
                </c:ext>
              </c:extLst>
            </c:dLbl>
            <c:dLbl>
              <c:idx val="13"/>
              <c:layout>
                <c:manualLayout>
                  <c:x val="-6.2091048142791677E-2"/>
                  <c:y val="-5.993236398323602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FCF-4CCE-B7CE-C5387A42F8FF}"/>
                </c:ext>
              </c:extLst>
            </c:dLbl>
            <c:dLbl>
              <c:idx val="14"/>
              <c:layout>
                <c:manualLayout>
                  <c:x val="-5.450163967599294E-2"/>
                  <c:y val="-7.514483195714305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FCF-4CCE-B7CE-C5387A42F8FF}"/>
                </c:ext>
              </c:extLst>
            </c:dLbl>
            <c:dLbl>
              <c:idx val="15"/>
              <c:layout>
                <c:manualLayout>
                  <c:x val="-4.6863189720332633E-2"/>
                  <c:y val="-0.102249477776223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FCF-4CCE-B7CE-C5387A42F8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'2025.04'!$A$2:$A$28</c15:sqref>
                  </c15:fullRef>
                </c:ext>
              </c:extLst>
              <c:f>'2025.04'!$A$2:$A$17</c:f>
              <c:strCache>
                <c:ptCount val="16"/>
                <c:pt idx="0">
                  <c:v>맞히기</c:v>
                </c:pt>
                <c:pt idx="1">
                  <c:v>대전</c:v>
                </c:pt>
                <c:pt idx="2">
                  <c:v>디펜스</c:v>
                </c:pt>
                <c:pt idx="3">
                  <c:v>컴까기</c:v>
                </c:pt>
                <c:pt idx="4">
                  <c:v>RPG</c:v>
                </c:pt>
                <c:pt idx="5">
                  <c:v>키우기</c:v>
                </c:pt>
                <c:pt idx="6">
                  <c:v>호환요청</c:v>
                </c:pt>
                <c:pt idx="7">
                  <c:v>서바이벌</c:v>
                </c:pt>
                <c:pt idx="8">
                  <c:v>퍼즐</c:v>
                </c:pt>
                <c:pt idx="9">
                  <c:v>캠페인</c:v>
                </c:pt>
                <c:pt idx="10">
                  <c:v>미니게임</c:v>
                </c:pt>
                <c:pt idx="11">
                  <c:v>컨트롤</c:v>
                </c:pt>
                <c:pt idx="12">
                  <c:v>탈출</c:v>
                </c:pt>
                <c:pt idx="13">
                  <c:v>밀리기반</c:v>
                </c:pt>
                <c:pt idx="14">
                  <c:v>슈팅</c:v>
                </c:pt>
                <c:pt idx="15">
                  <c:v>리듬게임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'2025.04'!$B$2:$B$28</c15:sqref>
                  </c15:fullRef>
                </c:ext>
              </c:extLst>
              <c:f>'2025.04'!$B$2:$B$17</c:f>
              <c:numCache>
                <c:formatCode>General</c:formatCode>
                <c:ptCount val="16"/>
                <c:pt idx="0">
                  <c:v>44</c:v>
                </c:pt>
                <c:pt idx="1">
                  <c:v>12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'2025.04'!$B$18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6.040435421762756E-3"/>
                        <c:y val="-0.1059410864809444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5-CAFC-4228-AA23-CACB6F7A90CF}"/>
                      </c:ext>
                    </c:extLst>
                  </c15:dLbl>
                </c15:categoryFilterException>
                <c15:categoryFilterException>
                  <c15:sqref>'2025.04'!$B$22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7.9870968509888641E-5"/>
                        <c:y val="-0.10954413264585901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7-CAFC-4228-AA23-CACB6F7A90CF}"/>
                      </c:ext>
                    </c:extLst>
                  </c15:dLbl>
                </c15:categoryFilterException>
                <c15:categoryFilterException>
                  <c15:sqref>'2025.04'!$B$28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5-EFCF-4CCE-B7CE-C5387A42F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'2025.04'!$B$1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2B-4366-8740-0349F7D0B7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2B-4366-8740-0349F7D0B7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2B-4366-8740-0349F7D0B7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F2B-4366-8740-0349F7D0B7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F2B-4366-8740-0349F7D0B7F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F2B-4366-8740-0349F7D0B7F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F2B-4366-8740-0349F7D0B7F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F2B-4366-8740-0349F7D0B7F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F2B-4366-8740-0349F7D0B7F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F2B-4366-8740-0349F7D0B7F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F2B-4366-8740-0349F7D0B7F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F2B-4366-8740-0349F7D0B7F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F2B-4366-8740-0349F7D0B7F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F2B-4366-8740-0349F7D0B7F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F2B-4366-8740-0349F7D0B7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'2025.04'!$A$2:$A$27</c15:sqref>
                  </c15:fullRef>
                </c:ext>
              </c:extLst>
              <c:f>'2025.04'!$A$3:$A$17</c:f>
              <c:strCache>
                <c:ptCount val="15"/>
                <c:pt idx="0">
                  <c:v>대전</c:v>
                </c:pt>
                <c:pt idx="1">
                  <c:v>디펜스</c:v>
                </c:pt>
                <c:pt idx="2">
                  <c:v>컴까기</c:v>
                </c:pt>
                <c:pt idx="3">
                  <c:v>RPG</c:v>
                </c:pt>
                <c:pt idx="4">
                  <c:v>키우기</c:v>
                </c:pt>
                <c:pt idx="5">
                  <c:v>호환요청</c:v>
                </c:pt>
                <c:pt idx="6">
                  <c:v>서바이벌</c:v>
                </c:pt>
                <c:pt idx="7">
                  <c:v>퍼즐</c:v>
                </c:pt>
                <c:pt idx="8">
                  <c:v>캠페인</c:v>
                </c:pt>
                <c:pt idx="9">
                  <c:v>미니게임</c:v>
                </c:pt>
                <c:pt idx="10">
                  <c:v>컨트롤</c:v>
                </c:pt>
                <c:pt idx="11">
                  <c:v>탈출</c:v>
                </c:pt>
                <c:pt idx="12">
                  <c:v>밀리기반</c:v>
                </c:pt>
                <c:pt idx="13">
                  <c:v>슈팅</c:v>
                </c:pt>
                <c:pt idx="14">
                  <c:v>리듬게임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'2025.04'!$B$2:$B$27</c15:sqref>
                  </c15:fullRef>
                </c:ext>
              </c:extLst>
              <c:f>'2025.04'!$B$3:$B$17</c:f>
              <c:numCache>
                <c:formatCode>General</c:formatCode>
                <c:ptCount val="15"/>
                <c:pt idx="0">
                  <c:v>12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'2025.04'!$B$2</c15:sqref>
                  <c15:bubble3D val="0"/>
                </c15:categoryFilterException>
                <c15:categoryFilterException>
                  <c15:sqref>'2025.04'!$B$18</c15:sqref>
                  <c15:bubble3D val="0"/>
                </c15:categoryFilterException>
                <c15:categoryFilterException>
                  <c15:sqref>'2025.04'!$B$19</c15:sqref>
                  <c15:bubble3D val="0"/>
                </c15:categoryFilterException>
                <c15:categoryFilterException>
                  <c15:sqref>'2025.04'!$B$20</c15:sqref>
                  <c15:bubble3D val="0"/>
                </c15:categoryFilterException>
                <c15:categoryFilterException>
                  <c15:sqref>'2025.04'!$B$21</c15:sqref>
                  <c15:bubble3D val="0"/>
                </c15:categoryFilterException>
                <c15:categoryFilterException>
                  <c15:sqref>'2025.04'!$B$22</c15:sqref>
                  <c15:bubble3D val="0"/>
                </c15:categoryFilterException>
                <c15:categoryFilterException>
                  <c15:sqref>'2025.04'!$B$23</c15:sqref>
                  <c15:bubble3D val="0"/>
                </c15:categoryFilterException>
                <c15:categoryFilterException>
                  <c15:sqref>'2025.04'!$B$24</c15:sqref>
                  <c15:bubble3D val="0"/>
                </c15:categoryFilterException>
                <c15:categoryFilterException>
                  <c15:sqref>'2025.04'!$B$25</c15:sqref>
                  <c15:bubble3D val="0"/>
                </c15:categoryFilterException>
                <c15:categoryFilterException>
                  <c15:sqref>'2025.04'!$B$26</c15:sqref>
                  <c15:bubble3D val="0"/>
                </c15:categoryFilterException>
                <c15:categoryFilterException>
                  <c15:sqref>'2025.04'!$B$27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0-CF2B-4366-8740-0349F7D0B7FE}"/>
            </c:ext>
          </c:extLst>
        </c:ser>
        <c:ser>
          <c:idx val="0"/>
          <c:order val="1"/>
          <c:tx>
            <c:strRef>
              <c:f>'2025.04'!$B$1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CF2B-4366-8740-0349F7D0B7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CF2B-4366-8740-0349F7D0B7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CF2B-4366-8740-0349F7D0B7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CF2B-4366-8740-0349F7D0B7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CF2B-4366-8740-0349F7D0B7F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CF2B-4366-8740-0349F7D0B7F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CF2B-4366-8740-0349F7D0B7F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CF2B-4366-8740-0349F7D0B7F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CF2B-4366-8740-0349F7D0B7F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CF2B-4366-8740-0349F7D0B7F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CF2B-4366-8740-0349F7D0B7F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CF2B-4366-8740-0349F7D0B7F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CF2B-4366-8740-0349F7D0B7F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CF2B-4366-8740-0349F7D0B7F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CF2B-4366-8740-0349F7D0B7FE}"/>
              </c:ext>
            </c:extLst>
          </c:dPt>
          <c:dLbls>
            <c:dLbl>
              <c:idx val="4"/>
              <c:layout>
                <c:manualLayout>
                  <c:x val="-1.0581869745679823E-3"/>
                  <c:y val="-6.1864903949455466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F2B-4366-8740-0349F7D0B7FE}"/>
                </c:ext>
              </c:extLst>
            </c:dLbl>
            <c:dLbl>
              <c:idx val="5"/>
              <c:layout>
                <c:manualLayout>
                  <c:x val="1.0651691237508177E-3"/>
                  <c:y val="-3.54919166947962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F2B-4366-8740-0349F7D0B7FE}"/>
                </c:ext>
              </c:extLst>
            </c:dLbl>
            <c:dLbl>
              <c:idx val="6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CF2B-4366-8740-0349F7D0B7FE}"/>
                </c:ext>
              </c:extLst>
            </c:dLbl>
            <c:dLbl>
              <c:idx val="7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F2B-4366-8740-0349F7D0B7FE}"/>
                </c:ext>
              </c:extLst>
            </c:dLbl>
            <c:dLbl>
              <c:idx val="9"/>
              <c:layout>
                <c:manualLayout>
                  <c:x val="-1.5117157974300554E-3"/>
                  <c:y val="-4.08997911104894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F2B-4366-8740-0349F7D0B7FE}"/>
                </c:ext>
              </c:extLst>
            </c:dLbl>
            <c:dLbl>
              <c:idx val="10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F2B-4366-8740-0349F7D0B7FE}"/>
                </c:ext>
              </c:extLst>
            </c:dLbl>
            <c:dLbl>
              <c:idx val="11"/>
              <c:layout>
                <c:manualLayout>
                  <c:x val="-8.8741544159194104E-3"/>
                  <c:y val="-2.943763494596528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F2B-4366-8740-0349F7D0B7FE}"/>
                </c:ext>
              </c:extLst>
            </c:dLbl>
            <c:dLbl>
              <c:idx val="12"/>
              <c:layout>
                <c:manualLayout>
                  <c:x val="-8.0020800117689875E-2"/>
                  <c:y val="-6.558615336702004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F2B-4366-8740-0349F7D0B7FE}"/>
                </c:ext>
              </c:extLst>
            </c:dLbl>
            <c:dLbl>
              <c:idx val="14"/>
              <c:layout>
                <c:manualLayout>
                  <c:x val="-5.5981358797633468E-2"/>
                  <c:y val="-9.322316753136704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F2B-4366-8740-0349F7D0B7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'2025.04'!$A$2:$A$27</c15:sqref>
                  </c15:fullRef>
                </c:ext>
              </c:extLst>
              <c:f>'2025.04'!$A$3:$A$17</c:f>
              <c:strCache>
                <c:ptCount val="15"/>
                <c:pt idx="0">
                  <c:v>대전</c:v>
                </c:pt>
                <c:pt idx="1">
                  <c:v>디펜스</c:v>
                </c:pt>
                <c:pt idx="2">
                  <c:v>컴까기</c:v>
                </c:pt>
                <c:pt idx="3">
                  <c:v>RPG</c:v>
                </c:pt>
                <c:pt idx="4">
                  <c:v>키우기</c:v>
                </c:pt>
                <c:pt idx="5">
                  <c:v>호환요청</c:v>
                </c:pt>
                <c:pt idx="6">
                  <c:v>서바이벌</c:v>
                </c:pt>
                <c:pt idx="7">
                  <c:v>퍼즐</c:v>
                </c:pt>
                <c:pt idx="8">
                  <c:v>캠페인</c:v>
                </c:pt>
                <c:pt idx="9">
                  <c:v>미니게임</c:v>
                </c:pt>
                <c:pt idx="10">
                  <c:v>컨트롤</c:v>
                </c:pt>
                <c:pt idx="11">
                  <c:v>탈출</c:v>
                </c:pt>
                <c:pt idx="12">
                  <c:v>밀리기반</c:v>
                </c:pt>
                <c:pt idx="13">
                  <c:v>슈팅</c:v>
                </c:pt>
                <c:pt idx="14">
                  <c:v>리듬게임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'2025.04'!$B$2:$B$27</c15:sqref>
                  </c15:fullRef>
                </c:ext>
              </c:extLst>
              <c:f>'2025.04'!$B$3:$B$17</c:f>
              <c:numCache>
                <c:formatCode>General</c:formatCode>
                <c:ptCount val="15"/>
                <c:pt idx="0">
                  <c:v>12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'2025.04'!$B$2</c15:sqref>
                  <c15:bubble3D val="0"/>
                </c15:categoryFilterException>
                <c15:categoryFilterException>
                  <c15:sqref>'2025.04'!$B$18</c15:sqref>
                  <c15:bubble3D val="0"/>
                  <c15:dLbl>
                    <c:idx val="14"/>
                    <c:layout>
                      <c:manualLayout>
                        <c:x val="-3.0283119371983264E-3"/>
                        <c:y val="-1.2993466446230531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8-4C7D-463B-AFF4-0EAFB2D88B67}"/>
                      </c:ext>
                    </c:extLst>
                  </c15:dLbl>
                </c15:categoryFilterException>
                <c15:categoryFilterException>
                  <c15:sqref>'2025.04'!$B$19</c15:sqref>
                  <c15:bubble3D val="0"/>
                  <c15:dLbl>
                    <c:idx val="14"/>
                    <c:layout>
                      <c:manualLayout>
                        <c:x val="-4.5351473922902496E-3"/>
                        <c:y val="-4.0899791110489943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4C7D-463B-AFF4-0EAFB2D88B67}"/>
                      </c:ext>
                    </c:extLst>
                  </c15:dLbl>
                </c15:categoryFilterException>
                <c15:categoryFilterException>
                  <c15:sqref>'2025.04'!$B$20</c15:sqref>
                  <c15:bubble3D val="0"/>
                  <c15:dLbl>
                    <c:idx val="14"/>
                    <c:layout>
                      <c:manualLayout>
                        <c:x val="-7.4088596068348653E-2"/>
                        <c:y val="-7.766698574228990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A-4C7D-463B-AFF4-0EAFB2D88B67}"/>
                      </c:ext>
                    </c:extLst>
                  </c15:dLbl>
                </c15:categoryFilterException>
                <c15:categoryFilterException>
                  <c15:sqref>'2025.04'!$B$21</c15:sqref>
                  <c15:bubble3D val="0"/>
                </c15:categoryFilterException>
                <c15:categoryFilterException>
                  <c15:sqref>'2025.04'!$B$22</c15:sqref>
                  <c15:bubble3D val="0"/>
                  <c15:dLbl>
                    <c:idx val="14"/>
                    <c:layout>
                      <c:manualLayout>
                        <c:x val="-1.4233535745508193E-3"/>
                        <c:y val="-4.2789388931675524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C-4C7D-463B-AFF4-0EAFB2D88B67}"/>
                      </c:ext>
                    </c:extLst>
                  </c15:dLbl>
                </c15:categoryFilterException>
                <c15:categoryFilterException>
                  <c15:sqref>'2025.04'!$B$23</c15:sqref>
                  <c15:bubble3D val="0"/>
                  <c15:dLbl>
                    <c:idx val="14"/>
                    <c:layout>
                      <c:manualLayout>
                        <c:x val="-3.9237881976681384E-2"/>
                        <c:y val="-8.010237585373566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D-4C7D-463B-AFF4-0EAFB2D88B67}"/>
                      </c:ext>
                    </c:extLst>
                  </c15:dLbl>
                </c15:categoryFilterException>
                <c15:categoryFilterException>
                  <c15:sqref>'2025.04'!$B$24</c15:sqref>
                  <c15:bubble3D val="0"/>
                  <c15:dLbl>
                    <c:idx val="14"/>
                    <c:layout>
                      <c:manualLayout>
                        <c:x val="-4.514721157334519E-2"/>
                        <c:y val="-0.1060612919242862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E-4C7D-463B-AFF4-0EAFB2D88B67}"/>
                      </c:ext>
                    </c:extLst>
                  </c15:dLbl>
                </c15:categoryFilterException>
                <c15:categoryFilterException>
                  <c15:sqref>'2025.04'!$B$25</c15:sqref>
                  <c15:bubble3D val="0"/>
                  <c15:dLbl>
                    <c:idx val="14"/>
                    <c:layout>
                      <c:manualLayout>
                        <c:x val="-4.5274479203863691E-3"/>
                        <c:y val="-8.8149943627492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F-4C7D-463B-AFF4-0EAFB2D88B67}"/>
                      </c:ext>
                    </c:extLst>
                  </c15:dLbl>
                </c15:categoryFilterException>
                <c15:categoryFilterException>
                  <c15:sqref>'2025.04'!$B$26</c15:sqref>
                  <c15:bubble3D val="0"/>
                </c15:categoryFilterException>
                <c15:categoryFilterException>
                  <c15:sqref>'2025.04'!$B$27</c15:sqref>
                  <c15:bubble3D val="0"/>
                  <c15:dLbl>
                    <c:idx val="14"/>
                    <c:layout>
                      <c:manualLayout>
                        <c:x val="-3.0234315948601664E-3"/>
                        <c:y val="-8.861621407272712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4C7D-463B-AFF4-0EAFB2D88B6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1-CF2B-4366-8740-0349F7D0B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'2025.05'!$B$1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26-4543-B0F4-180F2788AD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26-4543-B0F4-180F2788AD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26-4543-B0F4-180F2788AD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E26-4543-B0F4-180F2788AD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E26-4543-B0F4-180F2788AD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E26-4543-B0F4-180F2788ADA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E26-4543-B0F4-180F2788ADA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E26-4543-B0F4-180F2788ADA7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E26-4543-B0F4-180F2788ADA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E26-4543-B0F4-180F2788ADA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E26-4543-B0F4-180F2788ADA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E26-4543-B0F4-180F2788ADA7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E26-4543-B0F4-180F2788ADA7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E26-4543-B0F4-180F2788ADA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E26-4543-B0F4-180F2788ADA7}"/>
              </c:ext>
            </c:extLst>
          </c:dPt>
          <c:dPt>
            <c:idx val="15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E26-4543-B0F4-180F2788ADA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4E26-4543-B0F4-180F2788AD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'2025.05'!$A$2:$A$28</c15:sqref>
                  </c15:fullRef>
                </c:ext>
              </c:extLst>
              <c:f>'2025.05'!$A$2:$A$18</c:f>
              <c:strCache>
                <c:ptCount val="17"/>
                <c:pt idx="0">
                  <c:v>맞히기</c:v>
                </c:pt>
                <c:pt idx="1">
                  <c:v>대전</c:v>
                </c:pt>
                <c:pt idx="2">
                  <c:v>RPG</c:v>
                </c:pt>
                <c:pt idx="3">
                  <c:v>밀리기반</c:v>
                </c:pt>
                <c:pt idx="4">
                  <c:v>디펜스</c:v>
                </c:pt>
                <c:pt idx="5">
                  <c:v>컴까기</c:v>
                </c:pt>
                <c:pt idx="6">
                  <c:v>서바이벌</c:v>
                </c:pt>
                <c:pt idx="7">
                  <c:v>키우기</c:v>
                </c:pt>
                <c:pt idx="8">
                  <c:v>캠페인</c:v>
                </c:pt>
                <c:pt idx="9">
                  <c:v>미니게임</c:v>
                </c:pt>
                <c:pt idx="10">
                  <c:v>컨트롤</c:v>
                </c:pt>
                <c:pt idx="11">
                  <c:v>호환요청</c:v>
                </c:pt>
                <c:pt idx="12">
                  <c:v>퍼즐</c:v>
                </c:pt>
                <c:pt idx="13">
                  <c:v>탈출</c:v>
                </c:pt>
                <c:pt idx="14">
                  <c:v>리듬게임</c:v>
                </c:pt>
                <c:pt idx="15">
                  <c:v>어드벤처</c:v>
                </c:pt>
                <c:pt idx="16">
                  <c:v>기타</c:v>
                </c:pt>
                <c:pt idx="17">
                  <c:v>병맛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'2025.05'!$B$2:$B$27</c15:sqref>
                  </c15:fullRef>
                </c:ext>
              </c:extLst>
              <c:f>'2025.05'!$B$2:$B$18</c:f>
              <c:numCache>
                <c:formatCode>General</c:formatCode>
                <c:ptCount val="17"/>
                <c:pt idx="0">
                  <c:v>64</c:v>
                </c:pt>
                <c:pt idx="1">
                  <c:v>16</c:v>
                </c:pt>
                <c:pt idx="2">
                  <c:v>11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20-4E26-4543-B0F4-180F2788ADA7}"/>
            </c:ext>
          </c:extLst>
        </c:ser>
        <c:ser>
          <c:idx val="0"/>
          <c:order val="1"/>
          <c:tx>
            <c:strRef>
              <c:f>'2025.05'!$B$1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2-4E26-4543-B0F4-180F2788AD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4E26-4543-B0F4-180F2788AD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4E26-4543-B0F4-180F2788AD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4E26-4543-B0F4-180F2788AD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4E26-4543-B0F4-180F2788AD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4E26-4543-B0F4-180F2788ADA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4E26-4543-B0F4-180F2788ADA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4E26-4543-B0F4-180F2788ADA7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4E26-4543-B0F4-180F2788ADA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4E26-4543-B0F4-180F2788ADA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4E26-4543-B0F4-180F2788ADA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4E26-4543-B0F4-180F2788ADA7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4E26-4543-B0F4-180F2788ADA7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4E26-4543-B0F4-180F2788ADA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4E26-4543-B0F4-180F2788ADA7}"/>
              </c:ext>
            </c:extLst>
          </c:dPt>
          <c:dPt>
            <c:idx val="15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4E26-4543-B0F4-180F2788ADA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7-4E26-4543-B0F4-180F2788ADA7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E26-4543-B0F4-180F2788ADA7}"/>
                </c:ext>
              </c:extLst>
            </c:dLbl>
            <c:dLbl>
              <c:idx val="6"/>
              <c:layout>
                <c:manualLayout>
                  <c:x val="-3.0331922795364865E-3"/>
                  <c:y val="4.261736763996383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E26-4543-B0F4-180F2788ADA7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E26-4543-B0F4-180F2788ADA7}"/>
                </c:ext>
              </c:extLst>
            </c:dLbl>
            <c:dLbl>
              <c:idx val="8"/>
              <c:layout>
                <c:manualLayout>
                  <c:x val="-1.5299278066432172E-3"/>
                  <c:y val="-2.15716877261229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4E26-4543-B0F4-180F2788ADA7}"/>
                </c:ext>
              </c:extLst>
            </c:dLbl>
            <c:dLbl>
              <c:idx val="9"/>
              <c:layout>
                <c:manualLayout>
                  <c:x val="-0.10582010582010581"/>
                  <c:y val="-6.271301303608384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4E26-4543-B0F4-180F2788ADA7}"/>
                </c:ext>
              </c:extLst>
            </c:dLbl>
            <c:dLbl>
              <c:idx val="10"/>
              <c:layout>
                <c:manualLayout>
                  <c:x val="-9.3684598948940878E-2"/>
                  <c:y val="-6.799939154851439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4E26-4543-B0F4-180F2788ADA7}"/>
                </c:ext>
              </c:extLst>
            </c:dLbl>
            <c:dLbl>
              <c:idx val="11"/>
              <c:layout>
                <c:manualLayout>
                  <c:x val="-7.7097505668934238E-2"/>
                  <c:y val="-8.04362558506292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4E26-4543-B0F4-180F2788ADA7}"/>
                </c:ext>
              </c:extLst>
            </c:dLbl>
            <c:dLbl>
              <c:idx val="12"/>
              <c:layout>
                <c:manualLayout>
                  <c:x val="-3.7138214866004436E-4"/>
                  <c:y val="-5.041087114300770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4E26-4543-B0F4-180F2788ADA7}"/>
                </c:ext>
              </c:extLst>
            </c:dLbl>
            <c:dLbl>
              <c:idx val="13"/>
              <c:layout>
                <c:manualLayout>
                  <c:x val="-6.2091048142791677E-2"/>
                  <c:y val="-5.993236398323602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4E26-4543-B0F4-180F2788ADA7}"/>
                </c:ext>
              </c:extLst>
            </c:dLbl>
            <c:dLbl>
              <c:idx val="14"/>
              <c:layout>
                <c:manualLayout>
                  <c:x val="-5.450163967599294E-2"/>
                  <c:y val="-7.514483195714305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4E26-4543-B0F4-180F2788ADA7}"/>
                </c:ext>
              </c:extLst>
            </c:dLbl>
            <c:dLbl>
              <c:idx val="15"/>
              <c:layout>
                <c:manualLayout>
                  <c:x val="-6.5010207057451211E-2"/>
                  <c:y val="-0.105941086480944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4E26-4543-B0F4-180F2788ADA7}"/>
                </c:ext>
              </c:extLst>
            </c:dLbl>
            <c:dLbl>
              <c:idx val="16"/>
              <c:layout>
                <c:manualLayout>
                  <c:x val="7.9870968509888641E-5"/>
                  <c:y val="-0.1095441326458590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4E26-4543-B0F4-180F2788AD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'2025.05'!$A$2:$A$28</c15:sqref>
                  </c15:fullRef>
                </c:ext>
              </c:extLst>
              <c:f>'2025.05'!$A$2:$A$18</c:f>
              <c:strCache>
                <c:ptCount val="17"/>
                <c:pt idx="0">
                  <c:v>맞히기</c:v>
                </c:pt>
                <c:pt idx="1">
                  <c:v>대전</c:v>
                </c:pt>
                <c:pt idx="2">
                  <c:v>RPG</c:v>
                </c:pt>
                <c:pt idx="3">
                  <c:v>밀리기반</c:v>
                </c:pt>
                <c:pt idx="4">
                  <c:v>디펜스</c:v>
                </c:pt>
                <c:pt idx="5">
                  <c:v>컴까기</c:v>
                </c:pt>
                <c:pt idx="6">
                  <c:v>서바이벌</c:v>
                </c:pt>
                <c:pt idx="7">
                  <c:v>키우기</c:v>
                </c:pt>
                <c:pt idx="8">
                  <c:v>캠페인</c:v>
                </c:pt>
                <c:pt idx="9">
                  <c:v>미니게임</c:v>
                </c:pt>
                <c:pt idx="10">
                  <c:v>컨트롤</c:v>
                </c:pt>
                <c:pt idx="11">
                  <c:v>호환요청</c:v>
                </c:pt>
                <c:pt idx="12">
                  <c:v>퍼즐</c:v>
                </c:pt>
                <c:pt idx="13">
                  <c:v>탈출</c:v>
                </c:pt>
                <c:pt idx="14">
                  <c:v>리듬게임</c:v>
                </c:pt>
                <c:pt idx="15">
                  <c:v>어드벤처</c:v>
                </c:pt>
                <c:pt idx="16">
                  <c:v>기타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'2025.05'!$B$2:$B$28</c15:sqref>
                  </c15:fullRef>
                </c:ext>
              </c:extLst>
              <c:f>'2025.05'!$B$2:$B$18</c:f>
              <c:numCache>
                <c:formatCode>General</c:formatCode>
                <c:ptCount val="17"/>
                <c:pt idx="0">
                  <c:v>64</c:v>
                </c:pt>
                <c:pt idx="1">
                  <c:v>16</c:v>
                </c:pt>
                <c:pt idx="2">
                  <c:v>11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'2025.05'!$B$28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1-4E26-4543-B0F4-180F2788A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'2025.05'!$B$1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5D-4B58-81AD-4CC9009952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5D-4B58-81AD-4CC9009952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5D-4B58-81AD-4CC9009952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85D-4B58-81AD-4CC9009952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85D-4B58-81AD-4CC9009952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85D-4B58-81AD-4CC9009952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85D-4B58-81AD-4CC9009952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85D-4B58-81AD-4CC9009952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85D-4B58-81AD-4CC9009952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85D-4B58-81AD-4CC9009952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85D-4B58-81AD-4CC9009952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85D-4B58-81AD-4CC90099520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85D-4B58-81AD-4CC90099520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85D-4B58-81AD-4CC90099520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85D-4B58-81AD-4CC90099520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785D-4B58-81AD-4CC9009952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'2025.05'!$A$2:$A$27</c15:sqref>
                  </c15:fullRef>
                </c:ext>
              </c:extLst>
              <c:f>'2025.05'!$A$3:$A$18</c:f>
              <c:strCache>
                <c:ptCount val="16"/>
                <c:pt idx="0">
                  <c:v>대전</c:v>
                </c:pt>
                <c:pt idx="1">
                  <c:v>RPG</c:v>
                </c:pt>
                <c:pt idx="2">
                  <c:v>밀리기반</c:v>
                </c:pt>
                <c:pt idx="3">
                  <c:v>디펜스</c:v>
                </c:pt>
                <c:pt idx="4">
                  <c:v>컴까기</c:v>
                </c:pt>
                <c:pt idx="5">
                  <c:v>서바이벌</c:v>
                </c:pt>
                <c:pt idx="6">
                  <c:v>키우기</c:v>
                </c:pt>
                <c:pt idx="7">
                  <c:v>캠페인</c:v>
                </c:pt>
                <c:pt idx="8">
                  <c:v>미니게임</c:v>
                </c:pt>
                <c:pt idx="9">
                  <c:v>컨트롤</c:v>
                </c:pt>
                <c:pt idx="10">
                  <c:v>호환요청</c:v>
                </c:pt>
                <c:pt idx="11">
                  <c:v>퍼즐</c:v>
                </c:pt>
                <c:pt idx="12">
                  <c:v>탈출</c:v>
                </c:pt>
                <c:pt idx="13">
                  <c:v>리듬게임</c:v>
                </c:pt>
                <c:pt idx="14">
                  <c:v>어드벤처</c:v>
                </c:pt>
                <c:pt idx="15">
                  <c:v>기타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'2025.05'!$B$2:$B$27</c15:sqref>
                  </c15:fullRef>
                </c:ext>
              </c:extLst>
              <c:f>'2025.05'!$B$3:$B$18</c:f>
              <c:numCache>
                <c:formatCode>General</c:formatCode>
                <c:ptCount val="16"/>
                <c:pt idx="0">
                  <c:v>16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'2025.05'!$B$2</c15:sqref>
                  <c15:bubble3D val="0"/>
                </c15:categoryFilterException>
                <c15:categoryFilterException>
                  <c15:sqref>'2025.05'!$B$19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'2025.05'!$B$20</c15:sqref>
                  <c15:bubble3D val="0"/>
                </c15:categoryFilterException>
                <c15:categoryFilterException>
                  <c15:sqref>'2025.05'!$B$21</c15:sqref>
                  <c15:bubble3D val="0"/>
                </c15:categoryFilterException>
                <c15:categoryFilterException>
                  <c15:sqref>'2025.05'!$B$22</c15:sqref>
                  <c15:bubble3D val="0"/>
                </c15:categoryFilterException>
                <c15:categoryFilterException>
                  <c15:sqref>'2025.05'!$B$23</c15:sqref>
                  <c15:bubble3D val="0"/>
                </c15:categoryFilterException>
                <c15:categoryFilterException>
                  <c15:sqref>'2025.05'!$B$24</c15:sqref>
                  <c15:bubble3D val="0"/>
                </c15:categoryFilterException>
                <c15:categoryFilterException>
                  <c15:sqref>'2025.05'!$B$25</c15:sqref>
                  <c15:bubble3D val="0"/>
                </c15:categoryFilterException>
                <c15:categoryFilterException>
                  <c15:sqref>'2025.05'!$B$26</c15:sqref>
                  <c15:bubble3D val="0"/>
                </c15:categoryFilterException>
                <c15:categoryFilterException>
                  <c15:sqref>'2025.05'!$B$27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E-785D-4B58-81AD-4CC90099520F}"/>
            </c:ext>
          </c:extLst>
        </c:ser>
        <c:ser>
          <c:idx val="0"/>
          <c:order val="1"/>
          <c:tx>
            <c:strRef>
              <c:f>'2025.05'!$B$1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785D-4B58-81AD-4CC9009952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785D-4B58-81AD-4CC9009952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785D-4B58-81AD-4CC9009952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785D-4B58-81AD-4CC9009952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785D-4B58-81AD-4CC9009952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785D-4B58-81AD-4CC9009952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785D-4B58-81AD-4CC9009952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785D-4B58-81AD-4CC9009952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785D-4B58-81AD-4CC9009952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785D-4B58-81AD-4CC9009952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785D-4B58-81AD-4CC9009952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785D-4B58-81AD-4CC90099520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785D-4B58-81AD-4CC90099520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785D-4B58-81AD-4CC90099520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785D-4B58-81AD-4CC90099520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A-785D-4B58-81AD-4CC90099520F}"/>
              </c:ext>
            </c:extLst>
          </c:dPt>
          <c:dLbls>
            <c:dLbl>
              <c:idx val="2"/>
              <c:layout>
                <c:manualLayout>
                  <c:x val="-8.0020800117689875E-2"/>
                  <c:y val="-6.558615336702004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85D-4B58-81AD-4CC90099520F}"/>
                </c:ext>
              </c:extLst>
            </c:dLbl>
            <c:dLbl>
              <c:idx val="5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A-785D-4B58-81AD-4CC90099520F}"/>
                </c:ext>
              </c:extLst>
            </c:dLbl>
            <c:dLbl>
              <c:idx val="6"/>
              <c:layout>
                <c:manualLayout>
                  <c:x val="-1.0581869745679823E-3"/>
                  <c:y val="-6.1864903949455466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85D-4B58-81AD-4CC90099520F}"/>
                </c:ext>
              </c:extLst>
            </c:dLbl>
            <c:dLbl>
              <c:idx val="8"/>
              <c:layout>
                <c:manualLayout>
                  <c:x val="-1.5117157974300554E-3"/>
                  <c:y val="-4.08997911104894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85D-4B58-81AD-4CC90099520F}"/>
                </c:ext>
              </c:extLst>
            </c:dLbl>
            <c:dLbl>
              <c:idx val="9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85D-4B58-81AD-4CC90099520F}"/>
                </c:ext>
              </c:extLst>
            </c:dLbl>
            <c:dLbl>
              <c:idx val="10"/>
              <c:layout>
                <c:manualLayout>
                  <c:x val="1.0651691237508177E-3"/>
                  <c:y val="-3.54919166947962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85D-4B58-81AD-4CC90099520F}"/>
                </c:ext>
              </c:extLst>
            </c:dLbl>
            <c:dLbl>
              <c:idx val="11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785D-4B58-81AD-4CC90099520F}"/>
                </c:ext>
              </c:extLst>
            </c:dLbl>
            <c:dLbl>
              <c:idx val="12"/>
              <c:layout>
                <c:manualLayout>
                  <c:x val="-8.8741544159194104E-3"/>
                  <c:y val="-2.943763494596528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785D-4B58-81AD-4CC90099520F}"/>
                </c:ext>
              </c:extLst>
            </c:dLbl>
            <c:dLbl>
              <c:idx val="13"/>
              <c:layout>
                <c:manualLayout>
                  <c:x val="-5.5981358797633468E-2"/>
                  <c:y val="-9.322316753136704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785D-4B58-81AD-4CC90099520F}"/>
                </c:ext>
              </c:extLst>
            </c:dLbl>
            <c:dLbl>
              <c:idx val="14"/>
              <c:layout>
                <c:manualLayout>
                  <c:x val="-3.0283119371983264E-3"/>
                  <c:y val="-1.299346644623053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785D-4B58-81AD-4CC90099520F}"/>
                </c:ext>
              </c:extLst>
            </c:dLbl>
            <c:dLbl>
              <c:idx val="15"/>
              <c:layout>
                <c:manualLayout>
                  <c:x val="-1.4233535745508193E-3"/>
                  <c:y val="-4.278938893167552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785D-4B58-81AD-4CC9009952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'2025.05'!$A$2:$A$27</c15:sqref>
                  </c15:fullRef>
                </c:ext>
              </c:extLst>
              <c:f>'2025.05'!$A$3:$A$18</c:f>
              <c:strCache>
                <c:ptCount val="16"/>
                <c:pt idx="0">
                  <c:v>대전</c:v>
                </c:pt>
                <c:pt idx="1">
                  <c:v>RPG</c:v>
                </c:pt>
                <c:pt idx="2">
                  <c:v>밀리기반</c:v>
                </c:pt>
                <c:pt idx="3">
                  <c:v>디펜스</c:v>
                </c:pt>
                <c:pt idx="4">
                  <c:v>컴까기</c:v>
                </c:pt>
                <c:pt idx="5">
                  <c:v>서바이벌</c:v>
                </c:pt>
                <c:pt idx="6">
                  <c:v>키우기</c:v>
                </c:pt>
                <c:pt idx="7">
                  <c:v>캠페인</c:v>
                </c:pt>
                <c:pt idx="8">
                  <c:v>미니게임</c:v>
                </c:pt>
                <c:pt idx="9">
                  <c:v>컨트롤</c:v>
                </c:pt>
                <c:pt idx="10">
                  <c:v>호환요청</c:v>
                </c:pt>
                <c:pt idx="11">
                  <c:v>퍼즐</c:v>
                </c:pt>
                <c:pt idx="12">
                  <c:v>탈출</c:v>
                </c:pt>
                <c:pt idx="13">
                  <c:v>리듬게임</c:v>
                </c:pt>
                <c:pt idx="14">
                  <c:v>어드벤처</c:v>
                </c:pt>
                <c:pt idx="15">
                  <c:v>기타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'2025.05'!$B$2:$B$27</c15:sqref>
                  </c15:fullRef>
                </c:ext>
              </c:extLst>
              <c:f>'2025.05'!$B$3:$B$18</c:f>
              <c:numCache>
                <c:formatCode>General</c:formatCode>
                <c:ptCount val="16"/>
                <c:pt idx="0">
                  <c:v>16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'2025.05'!$B$2</c15:sqref>
                  <c15:bubble3D val="0"/>
                </c15:categoryFilterException>
                <c15:categoryFilterException>
                  <c15:sqref>'2025.05'!$B$19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'2025.05'!$B$20</c15:sqref>
                  <c15:bubble3D val="0"/>
                  <c15:dLbl>
                    <c:idx val="15"/>
                    <c:layout>
                      <c:manualLayout>
                        <c:x val="-4.5351473922902496E-3"/>
                        <c:y val="-4.0899791110489943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E-57E2-4229-B8FB-9B331BBD2DD7}"/>
                      </c:ext>
                    </c:extLst>
                  </c15:dLbl>
                </c15:categoryFilterException>
                <c15:categoryFilterException>
                  <c15:sqref>'2025.05'!$B$21</c15:sqref>
                  <c15:bubble3D val="0"/>
                  <c15:dLbl>
                    <c:idx val="15"/>
                    <c:layout>
                      <c:manualLayout>
                        <c:x val="-7.4088596068348653E-2"/>
                        <c:y val="-7.766698574228990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F-57E2-4229-B8FB-9B331BBD2DD7}"/>
                      </c:ext>
                    </c:extLst>
                  </c15:dLbl>
                </c15:categoryFilterException>
                <c15:categoryFilterException>
                  <c15:sqref>'2025.05'!$B$22</c15:sqref>
                  <c15:bubble3D val="0"/>
                </c15:categoryFilterException>
                <c15:categoryFilterException>
                  <c15:sqref>'2025.05'!$B$23</c15:sqref>
                  <c15:bubble3D val="0"/>
                  <c15:dLbl>
                    <c:idx val="15"/>
                    <c:layout>
                      <c:manualLayout>
                        <c:x val="-3.9237881976681384E-2"/>
                        <c:y val="-8.010237585373566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57E2-4229-B8FB-9B331BBD2DD7}"/>
                      </c:ext>
                    </c:extLst>
                  </c15:dLbl>
                </c15:categoryFilterException>
                <c15:categoryFilterException>
                  <c15:sqref>'2025.05'!$B$24</c15:sqref>
                  <c15:bubble3D val="0"/>
                  <c15:dLbl>
                    <c:idx val="15"/>
                    <c:layout>
                      <c:manualLayout>
                        <c:x val="-4.514721157334519E-2"/>
                        <c:y val="-0.1060612919242862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2-57E2-4229-B8FB-9B331BBD2DD7}"/>
                      </c:ext>
                    </c:extLst>
                  </c15:dLbl>
                </c15:categoryFilterException>
                <c15:categoryFilterException>
                  <c15:sqref>'2025.05'!$B$25</c15:sqref>
                  <c15:bubble3D val="0"/>
                  <c15:dLbl>
                    <c:idx val="15"/>
                    <c:layout>
                      <c:manualLayout>
                        <c:x val="-4.5274479203863691E-3"/>
                        <c:y val="-8.8149943627492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57E2-4229-B8FB-9B331BBD2DD7}"/>
                      </c:ext>
                    </c:extLst>
                  </c15:dLbl>
                </c15:categoryFilterException>
                <c15:categoryFilterException>
                  <c15:sqref>'2025.05'!$B$26</c15:sqref>
                  <c15:bubble3D val="0"/>
                </c15:categoryFilterException>
                <c15:categoryFilterException>
                  <c15:sqref>'2025.05'!$B$27</c15:sqref>
                  <c15:bubble3D val="0"/>
                  <c15:dLbl>
                    <c:idx val="15"/>
                    <c:layout>
                      <c:manualLayout>
                        <c:x val="-3.0234315948601664E-3"/>
                        <c:y val="-8.861621407272712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57E2-4229-B8FB-9B331BBD2DD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D-785D-4B58-81AD-4CC900995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'2025.06'!$B$1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09-4066-AE41-426AB7B95F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09-4066-AE41-426AB7B95F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09-4066-AE41-426AB7B95F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C09-4066-AE41-426AB7B95F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C09-4066-AE41-426AB7B95F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C09-4066-AE41-426AB7B95F7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C09-4066-AE41-426AB7B95F7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C09-4066-AE41-426AB7B95F7C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C09-4066-AE41-426AB7B95F7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C09-4066-AE41-426AB7B95F7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C09-4066-AE41-426AB7B95F7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C09-4066-AE41-426AB7B95F7C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C09-4066-AE41-426AB7B95F7C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C09-4066-AE41-426AB7B95F7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C09-4066-AE41-426AB7B95F7C}"/>
              </c:ext>
            </c:extLst>
          </c:dPt>
          <c:dPt>
            <c:idx val="15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C09-4066-AE41-426AB7B95F7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5C09-4066-AE41-426AB7B95F7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ACD1-4B6C-8026-F098DC3E20D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ACD1-4B6C-8026-F098DC3E20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'2025.06'!$A$2:$A$28</c15:sqref>
                  </c15:fullRef>
                </c:ext>
              </c:extLst>
              <c:f>'2025.06'!$A$2:$A$20</c:f>
              <c:strCache>
                <c:ptCount val="19"/>
                <c:pt idx="0">
                  <c:v>맞히기</c:v>
                </c:pt>
                <c:pt idx="1">
                  <c:v>대전</c:v>
                </c:pt>
                <c:pt idx="2">
                  <c:v>서바이벌</c:v>
                </c:pt>
                <c:pt idx="3">
                  <c:v>디펜스</c:v>
                </c:pt>
                <c:pt idx="4">
                  <c:v>컴까기</c:v>
                </c:pt>
                <c:pt idx="5">
                  <c:v>키우기</c:v>
                </c:pt>
                <c:pt idx="6">
                  <c:v>RPG</c:v>
                </c:pt>
                <c:pt idx="7">
                  <c:v>밀리기반</c:v>
                </c:pt>
                <c:pt idx="8">
                  <c:v>캠페인</c:v>
                </c:pt>
                <c:pt idx="9">
                  <c:v>컨트롤</c:v>
                </c:pt>
                <c:pt idx="10">
                  <c:v>호환요청</c:v>
                </c:pt>
                <c:pt idx="11">
                  <c:v>미니게임</c:v>
                </c:pt>
                <c:pt idx="12">
                  <c:v>탈출</c:v>
                </c:pt>
                <c:pt idx="13">
                  <c:v>퍼즐</c:v>
                </c:pt>
                <c:pt idx="14">
                  <c:v>기타</c:v>
                </c:pt>
                <c:pt idx="15">
                  <c:v>슈팅</c:v>
                </c:pt>
                <c:pt idx="16">
                  <c:v>블러드</c:v>
                </c:pt>
                <c:pt idx="17">
                  <c:v>디플로메시</c:v>
                </c:pt>
                <c:pt idx="18">
                  <c:v>AOS</c:v>
                </c:pt>
                <c:pt idx="19">
                  <c:v>병맛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'2025.06'!$B$2:$B$27</c15:sqref>
                  </c15:fullRef>
                </c:ext>
              </c:extLst>
              <c:f>'2025.06'!$B$2:$B$20</c:f>
              <c:numCache>
                <c:formatCode>General</c:formatCode>
                <c:ptCount val="19"/>
                <c:pt idx="0">
                  <c:v>38</c:v>
                </c:pt>
                <c:pt idx="1">
                  <c:v>14</c:v>
                </c:pt>
                <c:pt idx="2">
                  <c:v>14</c:v>
                </c:pt>
                <c:pt idx="3">
                  <c:v>12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22-5C09-4066-AE41-426AB7B95F7C}"/>
            </c:ext>
          </c:extLst>
        </c:ser>
        <c:ser>
          <c:idx val="0"/>
          <c:order val="1"/>
          <c:tx>
            <c:strRef>
              <c:f>'2025.06'!$B$1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5C09-4066-AE41-426AB7B95F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5C09-4066-AE41-426AB7B95F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5C09-4066-AE41-426AB7B95F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5C09-4066-AE41-426AB7B95F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5C09-4066-AE41-426AB7B95F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5C09-4066-AE41-426AB7B95F7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5C09-4066-AE41-426AB7B95F7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5C09-4066-AE41-426AB7B95F7C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5C09-4066-AE41-426AB7B95F7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5C09-4066-AE41-426AB7B95F7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5C09-4066-AE41-426AB7B95F7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5C09-4066-AE41-426AB7B95F7C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5C09-4066-AE41-426AB7B95F7C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5C09-4066-AE41-426AB7B95F7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5C09-4066-AE41-426AB7B95F7C}"/>
              </c:ext>
            </c:extLst>
          </c:dPt>
          <c:dPt>
            <c:idx val="15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5C09-4066-AE41-426AB7B95F7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5C09-4066-AE41-426AB7B95F7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8-5C09-4066-AE41-426AB7B95F7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9-5C09-4066-AE41-426AB7B95F7C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5C09-4066-AE41-426AB7B95F7C}"/>
                </c:ext>
              </c:extLst>
            </c:dLbl>
            <c:dLbl>
              <c:idx val="6"/>
              <c:layout>
                <c:manualLayout>
                  <c:x val="-3.0331922795364865E-3"/>
                  <c:y val="4.261736763996383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5C09-4066-AE41-426AB7B95F7C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5C09-4066-AE41-426AB7B95F7C}"/>
                </c:ext>
              </c:extLst>
            </c:dLbl>
            <c:dLbl>
              <c:idx val="8"/>
              <c:layout>
                <c:manualLayout>
                  <c:x val="-1.5299278066432172E-3"/>
                  <c:y val="-2.15716877261229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5C09-4066-AE41-426AB7B95F7C}"/>
                </c:ext>
              </c:extLst>
            </c:dLbl>
            <c:dLbl>
              <c:idx val="9"/>
              <c:layout>
                <c:manualLayout>
                  <c:x val="-1.5117157974300832E-3"/>
                  <c:y val="-1.363326370349648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5C09-4066-AE41-426AB7B95F7C}"/>
                </c:ext>
              </c:extLst>
            </c:dLbl>
            <c:dLbl>
              <c:idx val="10"/>
              <c:layout>
                <c:manualLayout>
                  <c:x val="-7.5167984954262225E-3"/>
                  <c:y val="-2.559725771731288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5C09-4066-AE41-426AB7B95F7C}"/>
                </c:ext>
              </c:extLst>
            </c:dLbl>
            <c:dLbl>
              <c:idx val="11"/>
              <c:layout>
                <c:manualLayout>
                  <c:x val="-7.7097505668934238E-2"/>
                  <c:y val="-8.04362558506292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5C09-4066-AE41-426AB7B95F7C}"/>
                </c:ext>
              </c:extLst>
            </c:dLbl>
            <c:dLbl>
              <c:idx val="12"/>
              <c:layout>
                <c:manualLayout>
                  <c:x val="-3.7138214866004436E-4"/>
                  <c:y val="-5.041087114300770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5C09-4066-AE41-426AB7B95F7C}"/>
                </c:ext>
              </c:extLst>
            </c:dLbl>
            <c:dLbl>
              <c:idx val="13"/>
              <c:layout>
                <c:manualLayout>
                  <c:x val="-6.2091048142791677E-2"/>
                  <c:y val="-5.993236398323602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5C09-4066-AE41-426AB7B95F7C}"/>
                </c:ext>
              </c:extLst>
            </c:dLbl>
            <c:dLbl>
              <c:idx val="14"/>
              <c:layout>
                <c:manualLayout>
                  <c:x val="-5.450163967599294E-2"/>
                  <c:y val="-7.514483195714305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5C09-4066-AE41-426AB7B95F7C}"/>
                </c:ext>
              </c:extLst>
            </c:dLbl>
            <c:dLbl>
              <c:idx val="15"/>
              <c:layout>
                <c:manualLayout>
                  <c:x val="-6.5010207057451211E-2"/>
                  <c:y val="-0.105941086480944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5C09-4066-AE41-426AB7B95F7C}"/>
                </c:ext>
              </c:extLst>
            </c:dLbl>
            <c:dLbl>
              <c:idx val="16"/>
              <c:layout>
                <c:manualLayout>
                  <c:x val="-6.3412192523553665E-2"/>
                  <c:y val="-0.1299940282011037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5C09-4066-AE41-426AB7B95F7C}"/>
                </c:ext>
              </c:extLst>
            </c:dLbl>
            <c:dLbl>
              <c:idx val="17"/>
              <c:layout>
                <c:manualLayout>
                  <c:x val="-1.5117157974301385E-3"/>
                  <c:y val="-0.1063394568872725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5C09-4066-AE41-426AB7B95F7C}"/>
                </c:ext>
              </c:extLst>
            </c:dLbl>
            <c:dLbl>
              <c:idx val="18"/>
              <c:layout>
                <c:manualLayout>
                  <c:x val="9.0702947845804991E-3"/>
                  <c:y val="-7.498295036923065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5C09-4066-AE41-426AB7B95F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'2025.06'!$A$2:$A$28</c15:sqref>
                  </c15:fullRef>
                </c:ext>
              </c:extLst>
              <c:f>'2025.06'!$A$2:$A$20</c:f>
              <c:strCache>
                <c:ptCount val="19"/>
                <c:pt idx="0">
                  <c:v>맞히기</c:v>
                </c:pt>
                <c:pt idx="1">
                  <c:v>대전</c:v>
                </c:pt>
                <c:pt idx="2">
                  <c:v>서바이벌</c:v>
                </c:pt>
                <c:pt idx="3">
                  <c:v>디펜스</c:v>
                </c:pt>
                <c:pt idx="4">
                  <c:v>컴까기</c:v>
                </c:pt>
                <c:pt idx="5">
                  <c:v>키우기</c:v>
                </c:pt>
                <c:pt idx="6">
                  <c:v>RPG</c:v>
                </c:pt>
                <c:pt idx="7">
                  <c:v>밀리기반</c:v>
                </c:pt>
                <c:pt idx="8">
                  <c:v>캠페인</c:v>
                </c:pt>
                <c:pt idx="9">
                  <c:v>컨트롤</c:v>
                </c:pt>
                <c:pt idx="10">
                  <c:v>호환요청</c:v>
                </c:pt>
                <c:pt idx="11">
                  <c:v>미니게임</c:v>
                </c:pt>
                <c:pt idx="12">
                  <c:v>탈출</c:v>
                </c:pt>
                <c:pt idx="13">
                  <c:v>퍼즐</c:v>
                </c:pt>
                <c:pt idx="14">
                  <c:v>기타</c:v>
                </c:pt>
                <c:pt idx="15">
                  <c:v>슈팅</c:v>
                </c:pt>
                <c:pt idx="16">
                  <c:v>블러드</c:v>
                </c:pt>
                <c:pt idx="17">
                  <c:v>디플로메시</c:v>
                </c:pt>
                <c:pt idx="18">
                  <c:v>AOS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'2025.06'!$B$2:$B$28</c15:sqref>
                  </c15:fullRef>
                </c:ext>
              </c:extLst>
              <c:f>'2025.06'!$B$2:$B$20</c:f>
              <c:numCache>
                <c:formatCode>General</c:formatCode>
                <c:ptCount val="19"/>
                <c:pt idx="0">
                  <c:v>38</c:v>
                </c:pt>
                <c:pt idx="1">
                  <c:v>14</c:v>
                </c:pt>
                <c:pt idx="2">
                  <c:v>14</c:v>
                </c:pt>
                <c:pt idx="3">
                  <c:v>12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'2025.06'!$B$28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5-5C09-4066-AE41-426AB7B95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'2025.06'!$B$1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992-4A63-BC62-7998F893C5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992-4A63-BC62-7998F893C5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992-4A63-BC62-7998F893C5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992-4A63-BC62-7998F893C5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992-4A63-BC62-7998F893C5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992-4A63-BC62-7998F893C58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992-4A63-BC62-7998F893C58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992-4A63-BC62-7998F893C58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992-4A63-BC62-7998F893C58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992-4A63-BC62-7998F893C58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F992-4A63-BC62-7998F893C58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992-4A63-BC62-7998F893C58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992-4A63-BC62-7998F893C58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992-4A63-BC62-7998F893C58F}"/>
              </c:ext>
            </c:extLst>
          </c:dPt>
          <c:dPt>
            <c:idx val="1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992-4A63-BC62-7998F893C58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992-4A63-BC62-7998F893C58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F992-4A63-BC62-7998F893C58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F992-4A63-BC62-7998F893C5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'2025.06'!$A$2:$A$27</c15:sqref>
                  </c15:fullRef>
                </c:ext>
              </c:extLst>
              <c:f>'2025.06'!$A$3:$A$20</c:f>
              <c:strCache>
                <c:ptCount val="18"/>
                <c:pt idx="0">
                  <c:v>대전</c:v>
                </c:pt>
                <c:pt idx="1">
                  <c:v>서바이벌</c:v>
                </c:pt>
                <c:pt idx="2">
                  <c:v>디펜스</c:v>
                </c:pt>
                <c:pt idx="3">
                  <c:v>컴까기</c:v>
                </c:pt>
                <c:pt idx="4">
                  <c:v>키우기</c:v>
                </c:pt>
                <c:pt idx="5">
                  <c:v>RPG</c:v>
                </c:pt>
                <c:pt idx="6">
                  <c:v>밀리기반</c:v>
                </c:pt>
                <c:pt idx="7">
                  <c:v>캠페인</c:v>
                </c:pt>
                <c:pt idx="8">
                  <c:v>컨트롤</c:v>
                </c:pt>
                <c:pt idx="9">
                  <c:v>호환요청</c:v>
                </c:pt>
                <c:pt idx="10">
                  <c:v>미니게임</c:v>
                </c:pt>
                <c:pt idx="11">
                  <c:v>탈출</c:v>
                </c:pt>
                <c:pt idx="12">
                  <c:v>퍼즐</c:v>
                </c:pt>
                <c:pt idx="13">
                  <c:v>기타</c:v>
                </c:pt>
                <c:pt idx="14">
                  <c:v>슈팅</c:v>
                </c:pt>
                <c:pt idx="15">
                  <c:v>블러드</c:v>
                </c:pt>
                <c:pt idx="16">
                  <c:v>디플로메시</c:v>
                </c:pt>
                <c:pt idx="17">
                  <c:v>AOS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'2025.06'!$B$2:$B$27</c15:sqref>
                  </c15:fullRef>
                </c:ext>
              </c:extLst>
              <c:f>'2025.06'!$B$3:$B$20</c:f>
              <c:numCache>
                <c:formatCode>General</c:formatCode>
                <c:ptCount val="18"/>
                <c:pt idx="0">
                  <c:v>14</c:v>
                </c:pt>
                <c:pt idx="1">
                  <c:v>14</c:v>
                </c:pt>
                <c:pt idx="2">
                  <c:v>12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'2025.06'!$B$2</c15:sqref>
                  <c15:bubble3D val="0"/>
                </c15:categoryFilterException>
                <c15:categoryFilterException>
                  <c15:sqref>'2025.06'!$B$21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'2025.06'!$B$22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'2025.06'!$B$23</c15:sqref>
                  <c15:bubble3D val="0"/>
                </c15:categoryFilterException>
                <c15:categoryFilterException>
                  <c15:sqref>'2025.06'!$B$24</c15:sqref>
                  <c15:bubble3D val="0"/>
                </c15:categoryFilterException>
                <c15:categoryFilterException>
                  <c15:sqref>'2025.06'!$B$25</c15:sqref>
                  <c15:bubble3D val="0"/>
                </c15:categoryFilterException>
                <c15:categoryFilterException>
                  <c15:sqref>'2025.06'!$B$26</c15:sqref>
                  <c15:bubble3D val="0"/>
                </c15:categoryFilterException>
                <c15:categoryFilterException>
                  <c15:sqref>'2025.06'!$B$27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0-F992-4A63-BC62-7998F893C58F}"/>
            </c:ext>
          </c:extLst>
        </c:ser>
        <c:ser>
          <c:idx val="0"/>
          <c:order val="1"/>
          <c:tx>
            <c:strRef>
              <c:f>'2025.06'!$B$1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F992-4A63-BC62-7998F893C5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F992-4A63-BC62-7998F893C5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F992-4A63-BC62-7998F893C5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F992-4A63-BC62-7998F893C5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F992-4A63-BC62-7998F893C5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F992-4A63-BC62-7998F893C58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F992-4A63-BC62-7998F893C58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F992-4A63-BC62-7998F893C58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F992-4A63-BC62-7998F893C58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F992-4A63-BC62-7998F893C58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F992-4A63-BC62-7998F893C58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F992-4A63-BC62-7998F893C58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F992-4A63-BC62-7998F893C58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F992-4A63-BC62-7998F893C58F}"/>
              </c:ext>
            </c:extLst>
          </c:dPt>
          <c:dPt>
            <c:idx val="1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F992-4A63-BC62-7998F893C58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F992-4A63-BC62-7998F893C58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F992-4A63-BC62-7998F893C58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0-F992-4A63-BC62-7998F893C58F}"/>
              </c:ext>
            </c:extLst>
          </c:dPt>
          <c:dLbls>
            <c:dLbl>
              <c:idx val="1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4-F992-4A63-BC62-7998F893C58F}"/>
                </c:ext>
              </c:extLst>
            </c:dLbl>
            <c:dLbl>
              <c:idx val="4"/>
              <c:layout>
                <c:manualLayout>
                  <c:x val="-1.0581869745679823E-3"/>
                  <c:y val="-6.1864903949455466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992-4A63-BC62-7998F893C58F}"/>
                </c:ext>
              </c:extLst>
            </c:dLbl>
            <c:dLbl>
              <c:idx val="6"/>
              <c:layout>
                <c:manualLayout>
                  <c:x val="1.473262449263767E-3"/>
                  <c:y val="-4.2644534522427082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992-4A63-BC62-7998F893C58F}"/>
                </c:ext>
              </c:extLst>
            </c:dLbl>
            <c:dLbl>
              <c:idx val="8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992-4A63-BC62-7998F893C58F}"/>
                </c:ext>
              </c:extLst>
            </c:dLbl>
            <c:dLbl>
              <c:idx val="9"/>
              <c:layout>
                <c:manualLayout>
                  <c:x val="1.0651691237508177E-3"/>
                  <c:y val="-3.54919166947962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992-4A63-BC62-7998F893C58F}"/>
                </c:ext>
              </c:extLst>
            </c:dLbl>
            <c:dLbl>
              <c:idx val="10"/>
              <c:layout>
                <c:manualLayout>
                  <c:x val="-1.5117157974300554E-3"/>
                  <c:y val="-4.08997911104894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992-4A63-BC62-7998F893C58F}"/>
                </c:ext>
              </c:extLst>
            </c:dLbl>
            <c:dLbl>
              <c:idx val="11"/>
              <c:layout>
                <c:manualLayout>
                  <c:x val="-8.8741544159194104E-3"/>
                  <c:y val="-2.943763494596528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992-4A63-BC62-7998F893C58F}"/>
                </c:ext>
              </c:extLst>
            </c:dLbl>
            <c:dLbl>
              <c:idx val="12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F992-4A63-BC62-7998F893C58F}"/>
                </c:ext>
              </c:extLst>
            </c:dLbl>
            <c:dLbl>
              <c:idx val="13"/>
              <c:layout>
                <c:manualLayout>
                  <c:x val="-1.4233535745508193E-3"/>
                  <c:y val="-4.278938893167552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992-4A63-BC62-7998F893C58F}"/>
                </c:ext>
              </c:extLst>
            </c:dLbl>
            <c:dLbl>
              <c:idx val="15"/>
              <c:layout>
                <c:manualLayout>
                  <c:x val="-8.1501786559468742E-2"/>
                  <c:y val="-5.391390578186374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992-4A63-BC62-7998F893C58F}"/>
                </c:ext>
              </c:extLst>
            </c:dLbl>
            <c:dLbl>
              <c:idx val="16"/>
              <c:layout>
                <c:manualLayout>
                  <c:x val="-7.4088596068348653E-2"/>
                  <c:y val="-7.766698574228990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F992-4A63-BC62-7998F893C58F}"/>
                </c:ext>
              </c:extLst>
            </c:dLbl>
            <c:dLbl>
              <c:idx val="17"/>
              <c:layout>
                <c:manualLayout>
                  <c:x val="-7.5457465339771896E-3"/>
                  <c:y val="-9.798787166221241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F992-4A63-BC62-7998F893C5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'2025.06'!$A$2:$A$27</c15:sqref>
                  </c15:fullRef>
                </c:ext>
              </c:extLst>
              <c:f>'2025.06'!$A$3:$A$20</c:f>
              <c:strCache>
                <c:ptCount val="18"/>
                <c:pt idx="0">
                  <c:v>대전</c:v>
                </c:pt>
                <c:pt idx="1">
                  <c:v>서바이벌</c:v>
                </c:pt>
                <c:pt idx="2">
                  <c:v>디펜스</c:v>
                </c:pt>
                <c:pt idx="3">
                  <c:v>컴까기</c:v>
                </c:pt>
                <c:pt idx="4">
                  <c:v>키우기</c:v>
                </c:pt>
                <c:pt idx="5">
                  <c:v>RPG</c:v>
                </c:pt>
                <c:pt idx="6">
                  <c:v>밀리기반</c:v>
                </c:pt>
                <c:pt idx="7">
                  <c:v>캠페인</c:v>
                </c:pt>
                <c:pt idx="8">
                  <c:v>컨트롤</c:v>
                </c:pt>
                <c:pt idx="9">
                  <c:v>호환요청</c:v>
                </c:pt>
                <c:pt idx="10">
                  <c:v>미니게임</c:v>
                </c:pt>
                <c:pt idx="11">
                  <c:v>탈출</c:v>
                </c:pt>
                <c:pt idx="12">
                  <c:v>퍼즐</c:v>
                </c:pt>
                <c:pt idx="13">
                  <c:v>기타</c:v>
                </c:pt>
                <c:pt idx="14">
                  <c:v>슈팅</c:v>
                </c:pt>
                <c:pt idx="15">
                  <c:v>블러드</c:v>
                </c:pt>
                <c:pt idx="16">
                  <c:v>디플로메시</c:v>
                </c:pt>
                <c:pt idx="17">
                  <c:v>AOS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'2025.06'!$B$2:$B$27</c15:sqref>
                  </c15:fullRef>
                </c:ext>
              </c:extLst>
              <c:f>'2025.06'!$B$3:$B$20</c:f>
              <c:numCache>
                <c:formatCode>General</c:formatCode>
                <c:ptCount val="18"/>
                <c:pt idx="0">
                  <c:v>14</c:v>
                </c:pt>
                <c:pt idx="1">
                  <c:v>14</c:v>
                </c:pt>
                <c:pt idx="2">
                  <c:v>12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'2025.06'!$B$2</c15:sqref>
                  <c15:bubble3D val="0"/>
                </c15:categoryFilterException>
                <c15:categoryFilterException>
                  <c15:sqref>'2025.06'!$B$21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5.5981358797633468E-2"/>
                        <c:y val="-9.322316753136704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4-7EEF-404C-BEEB-7842A2A0F94A}"/>
                      </c:ext>
                    </c:extLst>
                  </c15:dLbl>
                </c15:categoryFilterException>
                <c15:categoryFilterException>
                  <c15:sqref>'2025.06'!$B$22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3.0283119371983264E-3"/>
                        <c:y val="-1.2993466446230531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6-7EEF-404C-BEEB-7842A2A0F94A}"/>
                      </c:ext>
                    </c:extLst>
                  </c15:dLbl>
                </c15:categoryFilterException>
                <c15:categoryFilterException>
                  <c15:sqref>'2025.06'!$B$23</c15:sqref>
                  <c15:bubble3D val="0"/>
                </c15:categoryFilterException>
                <c15:categoryFilterException>
                  <c15:sqref>'2025.06'!$B$24</c15:sqref>
                  <c15:bubble3D val="0"/>
                  <c15:dLbl>
                    <c:idx val="17"/>
                    <c:layout>
                      <c:manualLayout>
                        <c:x val="-4.514721157334519E-2"/>
                        <c:y val="-0.1060612919242862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8-7EEF-404C-BEEB-7842A2A0F94A}"/>
                      </c:ext>
                    </c:extLst>
                  </c15:dLbl>
                </c15:categoryFilterException>
                <c15:categoryFilterException>
                  <c15:sqref>'2025.06'!$B$25</c15:sqref>
                  <c15:bubble3D val="0"/>
                  <c15:dLbl>
                    <c:idx val="17"/>
                    <c:layout>
                      <c:manualLayout>
                        <c:x val="-4.5274479203863691E-3"/>
                        <c:y val="-8.8149943627492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7EEF-404C-BEEB-7842A2A0F94A}"/>
                      </c:ext>
                    </c:extLst>
                  </c15:dLbl>
                </c15:categoryFilterException>
                <c15:categoryFilterException>
                  <c15:sqref>'2025.06'!$B$26</c15:sqref>
                  <c15:bubble3D val="0"/>
                </c15:categoryFilterException>
                <c15:categoryFilterException>
                  <c15:sqref>'2025.06'!$B$27</c15:sqref>
                  <c15:bubble3D val="0"/>
                  <c15:dLbl>
                    <c:idx val="17"/>
                    <c:layout>
                      <c:manualLayout>
                        <c:x val="-3.0234315948601664E-3"/>
                        <c:y val="-8.861621407272712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7EEF-404C-BEEB-7842A2A0F94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1-F992-4A63-BC62-7998F893C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'2025.07'!$B$1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BFD-4289-8E07-91FF1249B5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BFD-4289-8E07-91FF1249B5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BFD-4289-8E07-91FF1249B5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BFD-4289-8E07-91FF1249B5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BFD-4289-8E07-91FF1249B5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BFD-4289-8E07-91FF1249B5C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BFD-4289-8E07-91FF1249B5C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BFD-4289-8E07-91FF1249B5C1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BFD-4289-8E07-91FF1249B5C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BFD-4289-8E07-91FF1249B5C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BFD-4289-8E07-91FF1249B5C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BFD-4289-8E07-91FF1249B5C1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BFD-4289-8E07-91FF1249B5C1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BFD-4289-8E07-91FF1249B5C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BFD-4289-8E07-91FF1249B5C1}"/>
              </c:ext>
            </c:extLst>
          </c:dPt>
          <c:dPt>
            <c:idx val="15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BFD-4289-8E07-91FF1249B5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'2025.07'!$A$2:$A$28</c15:sqref>
                  </c15:fullRef>
                </c:ext>
              </c:extLst>
              <c:f>'2025.07'!$A$2:$A$17</c:f>
              <c:strCache>
                <c:ptCount val="16"/>
                <c:pt idx="0">
                  <c:v>맞히기</c:v>
                </c:pt>
                <c:pt idx="1">
                  <c:v>컴까기</c:v>
                </c:pt>
                <c:pt idx="2">
                  <c:v>대전</c:v>
                </c:pt>
                <c:pt idx="3">
                  <c:v>디펜스</c:v>
                </c:pt>
                <c:pt idx="4">
                  <c:v>서바이벌</c:v>
                </c:pt>
                <c:pt idx="5">
                  <c:v>키우기</c:v>
                </c:pt>
                <c:pt idx="6">
                  <c:v>컨트롤</c:v>
                </c:pt>
                <c:pt idx="7">
                  <c:v>RPG</c:v>
                </c:pt>
                <c:pt idx="8">
                  <c:v>기타</c:v>
                </c:pt>
                <c:pt idx="9">
                  <c:v>캠페인</c:v>
                </c:pt>
                <c:pt idx="10">
                  <c:v>미니게임</c:v>
                </c:pt>
                <c:pt idx="11">
                  <c:v>호환요청</c:v>
                </c:pt>
                <c:pt idx="12">
                  <c:v>퍼즐</c:v>
                </c:pt>
                <c:pt idx="13">
                  <c:v>디플로메시</c:v>
                </c:pt>
                <c:pt idx="14">
                  <c:v>어드벤처</c:v>
                </c:pt>
                <c:pt idx="15">
                  <c:v>추리</c:v>
                </c:pt>
                <c:pt idx="16">
                  <c:v>병맛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'2025.07'!$B$2:$B$27</c15:sqref>
                  </c15:fullRef>
                </c:ext>
              </c:extLst>
              <c:f>'2025.07'!$B$2:$B$17</c:f>
              <c:numCache>
                <c:formatCode>General</c:formatCode>
                <c:ptCount val="16"/>
                <c:pt idx="0">
                  <c:v>44</c:v>
                </c:pt>
                <c:pt idx="1">
                  <c:v>17</c:v>
                </c:pt>
                <c:pt idx="2">
                  <c:v>16</c:v>
                </c:pt>
                <c:pt idx="3">
                  <c:v>13</c:v>
                </c:pt>
                <c:pt idx="4">
                  <c:v>10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'2025.07'!$B$18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'2025.07'!$B$19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'2025.07'!$B$20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6-EBFD-4289-8E07-91FF1249B5C1}"/>
            </c:ext>
          </c:extLst>
        </c:ser>
        <c:ser>
          <c:idx val="0"/>
          <c:order val="1"/>
          <c:tx>
            <c:strRef>
              <c:f>'2025.07'!$B$1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EBFD-4289-8E07-91FF1249B5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EBFD-4289-8E07-91FF1249B5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EBFD-4289-8E07-91FF1249B5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EBFD-4289-8E07-91FF1249B5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EBFD-4289-8E07-91FF1249B5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EBFD-4289-8E07-91FF1249B5C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EBFD-4289-8E07-91FF1249B5C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EBFD-4289-8E07-91FF1249B5C1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EBFD-4289-8E07-91FF1249B5C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EBFD-4289-8E07-91FF1249B5C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EBFD-4289-8E07-91FF1249B5C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EBFD-4289-8E07-91FF1249B5C1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EBFD-4289-8E07-91FF1249B5C1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EBFD-4289-8E07-91FF1249B5C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EBFD-4289-8E07-91FF1249B5C1}"/>
              </c:ext>
            </c:extLst>
          </c:dPt>
          <c:dPt>
            <c:idx val="15"/>
            <c:bubble3D val="0"/>
            <c:spPr>
              <a:solidFill>
                <a:schemeClr val="accent3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6-EBFD-4289-8E07-91FF1249B5C1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BFD-4289-8E07-91FF1249B5C1}"/>
                </c:ext>
              </c:extLst>
            </c:dLbl>
            <c:dLbl>
              <c:idx val="6"/>
              <c:layout>
                <c:manualLayout>
                  <c:x val="-3.0331922795364865E-3"/>
                  <c:y val="4.261736763996383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BFD-4289-8E07-91FF1249B5C1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BFD-4289-8E07-91FF1249B5C1}"/>
                </c:ext>
              </c:extLst>
            </c:dLbl>
            <c:dLbl>
              <c:idx val="8"/>
              <c:layout>
                <c:manualLayout>
                  <c:x val="-1.5299278066432172E-3"/>
                  <c:y val="-2.15716877261229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BFD-4289-8E07-91FF1249B5C1}"/>
                </c:ext>
              </c:extLst>
            </c:dLbl>
            <c:dLbl>
              <c:idx val="9"/>
              <c:layout>
                <c:manualLayout>
                  <c:x val="-1.5117157974300832E-3"/>
                  <c:y val="-1.363326370349648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BFD-4289-8E07-91FF1249B5C1}"/>
                </c:ext>
              </c:extLst>
            </c:dLbl>
            <c:dLbl>
              <c:idx val="10"/>
              <c:layout>
                <c:manualLayout>
                  <c:x val="-8.6126019961790493E-2"/>
                  <c:y val="-5.845610695606688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BFD-4289-8E07-91FF1249B5C1}"/>
                </c:ext>
              </c:extLst>
            </c:dLbl>
            <c:dLbl>
              <c:idx val="11"/>
              <c:layout>
                <c:manualLayout>
                  <c:x val="-7.7097505668934238E-2"/>
                  <c:y val="-8.04362558506292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BFD-4289-8E07-91FF1249B5C1}"/>
                </c:ext>
              </c:extLst>
            </c:dLbl>
            <c:dLbl>
              <c:idx val="12"/>
              <c:layout>
                <c:manualLayout>
                  <c:x val="-3.7138214866004436E-4"/>
                  <c:y val="-5.041087114300770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BFD-4289-8E07-91FF1249B5C1}"/>
                </c:ext>
              </c:extLst>
            </c:dLbl>
            <c:dLbl>
              <c:idx val="13"/>
              <c:layout>
                <c:manualLayout>
                  <c:x val="-6.2091048142791677E-2"/>
                  <c:y val="-5.993236398323602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BFD-4289-8E07-91FF1249B5C1}"/>
                </c:ext>
              </c:extLst>
            </c:dLbl>
            <c:dLbl>
              <c:idx val="14"/>
              <c:layout>
                <c:manualLayout>
                  <c:x val="-5.450163967599294E-2"/>
                  <c:y val="-7.514483195714305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BFD-4289-8E07-91FF1249B5C1}"/>
                </c:ext>
              </c:extLst>
            </c:dLbl>
            <c:dLbl>
              <c:idx val="15"/>
              <c:layout>
                <c:manualLayout>
                  <c:x val="-7.5650067551079926E-3"/>
                  <c:y val="-0.105941086480944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BFD-4289-8E07-91FF1249B5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'2025.07'!$A$2:$A$28</c15:sqref>
                  </c15:fullRef>
                </c:ext>
              </c:extLst>
              <c:f>'2025.07'!$A$2:$A$17</c:f>
              <c:strCache>
                <c:ptCount val="16"/>
                <c:pt idx="0">
                  <c:v>맞히기</c:v>
                </c:pt>
                <c:pt idx="1">
                  <c:v>컴까기</c:v>
                </c:pt>
                <c:pt idx="2">
                  <c:v>대전</c:v>
                </c:pt>
                <c:pt idx="3">
                  <c:v>디펜스</c:v>
                </c:pt>
                <c:pt idx="4">
                  <c:v>서바이벌</c:v>
                </c:pt>
                <c:pt idx="5">
                  <c:v>키우기</c:v>
                </c:pt>
                <c:pt idx="6">
                  <c:v>컨트롤</c:v>
                </c:pt>
                <c:pt idx="7">
                  <c:v>RPG</c:v>
                </c:pt>
                <c:pt idx="8">
                  <c:v>기타</c:v>
                </c:pt>
                <c:pt idx="9">
                  <c:v>캠페인</c:v>
                </c:pt>
                <c:pt idx="10">
                  <c:v>미니게임</c:v>
                </c:pt>
                <c:pt idx="11">
                  <c:v>호환요청</c:v>
                </c:pt>
                <c:pt idx="12">
                  <c:v>퍼즐</c:v>
                </c:pt>
                <c:pt idx="13">
                  <c:v>디플로메시</c:v>
                </c:pt>
                <c:pt idx="14">
                  <c:v>어드벤처</c:v>
                </c:pt>
                <c:pt idx="15">
                  <c:v>추리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'2025.07'!$B$2:$B$28</c15:sqref>
                  </c15:fullRef>
                </c:ext>
              </c:extLst>
              <c:f>'2025.07'!$B$2:$B$17</c:f>
              <c:numCache>
                <c:formatCode>General</c:formatCode>
                <c:ptCount val="16"/>
                <c:pt idx="0">
                  <c:v>44</c:v>
                </c:pt>
                <c:pt idx="1">
                  <c:v>17</c:v>
                </c:pt>
                <c:pt idx="2">
                  <c:v>16</c:v>
                </c:pt>
                <c:pt idx="3">
                  <c:v>13</c:v>
                </c:pt>
                <c:pt idx="4">
                  <c:v>10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'2025.07'!$B$18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6.3412192523553665E-2"/>
                        <c:y val="-0.1299940282011037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7-C10A-4DBD-B64B-4E14A67DB6BA}"/>
                      </c:ext>
                    </c:extLst>
                  </c15:dLbl>
                </c15:categoryFilterException>
                <c15:categoryFilterException>
                  <c15:sqref>'2025.07'!$B$19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1.5117157974301385E-3"/>
                        <c:y val="-0.1063394568872725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C10A-4DBD-B64B-4E14A67DB6BA}"/>
                      </c:ext>
                    </c:extLst>
                  </c15:dLbl>
                </c15:categoryFilterException>
                <c15:categoryFilterException>
                  <c15:sqref>'2025.07'!$B$20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9.0702947845804991E-3"/>
                        <c:y val="-7.498295036923065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B-C10A-4DBD-B64B-4E14A67DB6BA}"/>
                      </c:ext>
                    </c:extLst>
                  </c15:dLbl>
                </c15:categoryFilterException>
                <c15:categoryFilterException>
                  <c15:sqref>'2025.07'!$B$28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D-EBFD-4289-8E07-91FF1249B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'2025.07'!$B$1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260-4AFF-98E6-228F3D3E30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60-4AFF-98E6-228F3D3E30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260-4AFF-98E6-228F3D3E30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260-4AFF-98E6-228F3D3E30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260-4AFF-98E6-228F3D3E30A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260-4AFF-98E6-228F3D3E30A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260-4AFF-98E6-228F3D3E30A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260-4AFF-98E6-228F3D3E30A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260-4AFF-98E6-228F3D3E30A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260-4AFF-98E6-228F3D3E30A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260-4AFF-98E6-228F3D3E30A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260-4AFF-98E6-228F3D3E30A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260-4AFF-98E6-228F3D3E30AF}"/>
              </c:ext>
            </c:extLst>
          </c:dPt>
          <c:dPt>
            <c:idx val="13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260-4AFF-98E6-228F3D3E30A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260-4AFF-98E6-228F3D3E30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'2025.07'!$A$2:$A$27</c15:sqref>
                  </c15:fullRef>
                </c:ext>
              </c:extLst>
              <c:f>'2025.07'!$A$3:$A$17</c:f>
              <c:strCache>
                <c:ptCount val="15"/>
                <c:pt idx="0">
                  <c:v>컴까기</c:v>
                </c:pt>
                <c:pt idx="1">
                  <c:v>대전</c:v>
                </c:pt>
                <c:pt idx="2">
                  <c:v>디펜스</c:v>
                </c:pt>
                <c:pt idx="3">
                  <c:v>서바이벌</c:v>
                </c:pt>
                <c:pt idx="4">
                  <c:v>키우기</c:v>
                </c:pt>
                <c:pt idx="5">
                  <c:v>컨트롤</c:v>
                </c:pt>
                <c:pt idx="6">
                  <c:v>RPG</c:v>
                </c:pt>
                <c:pt idx="7">
                  <c:v>기타</c:v>
                </c:pt>
                <c:pt idx="8">
                  <c:v>캠페인</c:v>
                </c:pt>
                <c:pt idx="9">
                  <c:v>미니게임</c:v>
                </c:pt>
                <c:pt idx="10">
                  <c:v>호환요청</c:v>
                </c:pt>
                <c:pt idx="11">
                  <c:v>퍼즐</c:v>
                </c:pt>
                <c:pt idx="12">
                  <c:v>디플로메시</c:v>
                </c:pt>
                <c:pt idx="13">
                  <c:v>어드벤처</c:v>
                </c:pt>
                <c:pt idx="14">
                  <c:v>추리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'2025.07'!$B$2:$B$27</c15:sqref>
                  </c15:fullRef>
                </c:ext>
              </c:extLst>
              <c:f>'2025.07'!$B$3:$B$17</c:f>
              <c:numCache>
                <c:formatCode>General</c:formatCode>
                <c:ptCount val="15"/>
                <c:pt idx="0">
                  <c:v>17</c:v>
                </c:pt>
                <c:pt idx="1">
                  <c:v>16</c:v>
                </c:pt>
                <c:pt idx="2">
                  <c:v>13</c:v>
                </c:pt>
                <c:pt idx="3">
                  <c:v>10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'2025.07'!$B$2</c15:sqref>
                  <c15:bubble3D val="0"/>
                </c15:categoryFilterException>
                <c15:categoryFilterException>
                  <c15:sqref>'2025.07'!$B$18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'2025.07'!$B$19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'2025.07'!$B$20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'2025.07'!$B$21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'2025.07'!$B$22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'2025.07'!$B$23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'2025.07'!$B$24</c15:sqref>
                  <c15:bubble3D val="0"/>
                </c15:categoryFilterException>
                <c15:categoryFilterException>
                  <c15:sqref>'2025.07'!$B$25</c15:sqref>
                  <c15:bubble3D val="0"/>
                </c15:categoryFilterException>
                <c15:categoryFilterException>
                  <c15:sqref>'2025.07'!$B$26</c15:sqref>
                  <c15:bubble3D val="0"/>
                </c15:categoryFilterException>
                <c15:categoryFilterException>
                  <c15:sqref>'2025.07'!$B$27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4-9260-4AFF-98E6-228F3D3E30AF}"/>
            </c:ext>
          </c:extLst>
        </c:ser>
        <c:ser>
          <c:idx val="0"/>
          <c:order val="1"/>
          <c:tx>
            <c:strRef>
              <c:f>'2025.07'!$B$1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9260-4AFF-98E6-228F3D3E30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9260-4AFF-98E6-228F3D3E30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9260-4AFF-98E6-228F3D3E30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9260-4AFF-98E6-228F3D3E30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9260-4AFF-98E6-228F3D3E30A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9260-4AFF-98E6-228F3D3E30A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9260-4AFF-98E6-228F3D3E30A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9260-4AFF-98E6-228F3D3E30A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9260-4AFF-98E6-228F3D3E30A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9260-4AFF-98E6-228F3D3E30A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9260-4AFF-98E6-228F3D3E30A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9260-4AFF-98E6-228F3D3E30A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9260-4AFF-98E6-228F3D3E30AF}"/>
              </c:ext>
            </c:extLst>
          </c:dPt>
          <c:dPt>
            <c:idx val="13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9260-4AFF-98E6-228F3D3E30A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9260-4AFF-98E6-228F3D3E30AF}"/>
              </c:ext>
            </c:extLst>
          </c:dPt>
          <c:dLbls>
            <c:dLbl>
              <c:idx val="3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C-9260-4AFF-98E6-228F3D3E30AF}"/>
                </c:ext>
              </c:extLst>
            </c:dLbl>
            <c:dLbl>
              <c:idx val="4"/>
              <c:layout>
                <c:manualLayout>
                  <c:x val="-1.0581869745679823E-3"/>
                  <c:y val="-6.1864903949455466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9260-4AFF-98E6-228F3D3E30AF}"/>
                </c:ext>
              </c:extLst>
            </c:dLbl>
            <c:dLbl>
              <c:idx val="5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9260-4AFF-98E6-228F3D3E30AF}"/>
                </c:ext>
              </c:extLst>
            </c:dLbl>
            <c:dLbl>
              <c:idx val="7"/>
              <c:layout>
                <c:manualLayout>
                  <c:x val="-1.4233535745508193E-3"/>
                  <c:y val="-4.278938893167552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9260-4AFF-98E6-228F3D3E30AF}"/>
                </c:ext>
              </c:extLst>
            </c:dLbl>
            <c:dLbl>
              <c:idx val="9"/>
              <c:layout>
                <c:manualLayout>
                  <c:x val="-1.5117157974300554E-3"/>
                  <c:y val="-4.08997911104894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9260-4AFF-98E6-228F3D3E30AF}"/>
                </c:ext>
              </c:extLst>
            </c:dLbl>
            <c:dLbl>
              <c:idx val="10"/>
              <c:layout>
                <c:manualLayout>
                  <c:x val="-9.4011208344953981E-2"/>
                  <c:y val="-5.91215223876513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9260-4AFF-98E6-228F3D3E30AF}"/>
                </c:ext>
              </c:extLst>
            </c:dLbl>
            <c:dLbl>
              <c:idx val="11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9260-4AFF-98E6-228F3D3E30AF}"/>
                </c:ext>
              </c:extLst>
            </c:dLbl>
            <c:dLbl>
              <c:idx val="12"/>
              <c:layout>
                <c:manualLayout>
                  <c:x val="-7.4088596068348653E-2"/>
                  <c:y val="-7.766698574228990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9260-4AFF-98E6-228F3D3E30AF}"/>
                </c:ext>
              </c:extLst>
            </c:dLbl>
            <c:dLbl>
              <c:idx val="13"/>
              <c:layout>
                <c:manualLayout>
                  <c:x val="-3.4720415831237708E-2"/>
                  <c:y val="-0.1035021973609135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9260-4AFF-98E6-228F3D3E30AF}"/>
                </c:ext>
              </c:extLst>
            </c:dLbl>
            <c:dLbl>
              <c:idx val="14"/>
              <c:layout>
                <c:manualLayout>
                  <c:x val="-3.0234315948601664E-3"/>
                  <c:y val="-8.861621407272712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9260-4AFF-98E6-228F3D3E3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'2025.07'!$A$2:$A$27</c15:sqref>
                  </c15:fullRef>
                </c:ext>
              </c:extLst>
              <c:f>'2025.07'!$A$3:$A$17</c:f>
              <c:strCache>
                <c:ptCount val="15"/>
                <c:pt idx="0">
                  <c:v>컴까기</c:v>
                </c:pt>
                <c:pt idx="1">
                  <c:v>대전</c:v>
                </c:pt>
                <c:pt idx="2">
                  <c:v>디펜스</c:v>
                </c:pt>
                <c:pt idx="3">
                  <c:v>서바이벌</c:v>
                </c:pt>
                <c:pt idx="4">
                  <c:v>키우기</c:v>
                </c:pt>
                <c:pt idx="5">
                  <c:v>컨트롤</c:v>
                </c:pt>
                <c:pt idx="6">
                  <c:v>RPG</c:v>
                </c:pt>
                <c:pt idx="7">
                  <c:v>기타</c:v>
                </c:pt>
                <c:pt idx="8">
                  <c:v>캠페인</c:v>
                </c:pt>
                <c:pt idx="9">
                  <c:v>미니게임</c:v>
                </c:pt>
                <c:pt idx="10">
                  <c:v>호환요청</c:v>
                </c:pt>
                <c:pt idx="11">
                  <c:v>퍼즐</c:v>
                </c:pt>
                <c:pt idx="12">
                  <c:v>디플로메시</c:v>
                </c:pt>
                <c:pt idx="13">
                  <c:v>어드벤처</c:v>
                </c:pt>
                <c:pt idx="14">
                  <c:v>추리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'2025.07'!$B$2:$B$27</c15:sqref>
                  </c15:fullRef>
                </c:ext>
              </c:extLst>
              <c:f>'2025.07'!$B$3:$B$17</c:f>
              <c:numCache>
                <c:formatCode>General</c:formatCode>
                <c:ptCount val="15"/>
                <c:pt idx="0">
                  <c:v>17</c:v>
                </c:pt>
                <c:pt idx="1">
                  <c:v>16</c:v>
                </c:pt>
                <c:pt idx="2">
                  <c:v>13</c:v>
                </c:pt>
                <c:pt idx="3">
                  <c:v>10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'2025.07'!$B$2</c15:sqref>
                  <c15:bubble3D val="0"/>
                </c15:categoryFilterException>
                <c15:categoryFilterException>
                  <c15:sqref>'2025.07'!$B$18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1.473262449263767E-3"/>
                        <c:y val="-4.2644534522427082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F-F618-4954-A063-F671BB854D8B}"/>
                      </c:ext>
                    </c:extLst>
                  </c15:dLbl>
                </c15:categoryFilterException>
                <c15:categoryFilterException>
                  <c15:sqref>'2025.07'!$B$19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8.8741544159194104E-3"/>
                        <c:y val="-2.9437634945965281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F618-4954-A063-F671BB854D8B}"/>
                      </c:ext>
                    </c:extLst>
                  </c15:dLbl>
                </c15:categoryFilterException>
                <c15:categoryFilterException>
                  <c15:sqref>'2025.07'!$B$20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'2025.07'!$B$21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8.1501786559468742E-2"/>
                        <c:y val="-5.3913905781863745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F618-4954-A063-F671BB854D8B}"/>
                      </c:ext>
                    </c:extLst>
                  </c15:dLbl>
                </c15:categoryFilterException>
                <c15:categoryFilterException>
                  <c15:sqref>'2025.07'!$B$22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7.5457465339771896E-3"/>
                        <c:y val="-9.798787166221241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F618-4954-A063-F671BB854D8B}"/>
                      </c:ext>
                    </c:extLst>
                  </c15:dLbl>
                </c15:categoryFilterException>
                <c15:categoryFilterException>
                  <c15:sqref>'2025.07'!$B$23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5.5981358797633468E-2"/>
                        <c:y val="-9.322316753136704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F618-4954-A063-F671BB854D8B}"/>
                      </c:ext>
                    </c:extLst>
                  </c15:dLbl>
                </c15:categoryFilterException>
                <c15:categoryFilterException>
                  <c15:sqref>'2025.07'!$B$24</c15:sqref>
                  <c15:bubble3D val="0"/>
                </c15:categoryFilterException>
                <c15:categoryFilterException>
                  <c15:sqref>'2025.07'!$B$25</c15:sqref>
                  <c15:bubble3D val="0"/>
                  <c15:dLbl>
                    <c:idx val="14"/>
                    <c:layout>
                      <c:manualLayout>
                        <c:x val="-4.514721157334519E-2"/>
                        <c:y val="-0.1060612919242862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F618-4954-A063-F671BB854D8B}"/>
                      </c:ext>
                    </c:extLst>
                  </c15:dLbl>
                </c15:categoryFilterException>
                <c15:categoryFilterException>
                  <c15:sqref>'2025.07'!$B$26</c15:sqref>
                  <c15:bubble3D val="0"/>
                  <c15:dLbl>
                    <c:idx val="14"/>
                    <c:layout>
                      <c:manualLayout>
                        <c:x val="-4.5274479203863691E-3"/>
                        <c:y val="-8.8149943627492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C-F618-4954-A063-F671BB854D8B}"/>
                      </c:ext>
                    </c:extLst>
                  </c15:dLbl>
                </c15:categoryFilterException>
                <c15:categoryFilterException>
                  <c15:sqref>'2025.07'!$B$27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9-9260-4AFF-98E6-228F3D3E3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'2025.08'!$B$1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622-433B-8AA8-A9A47CE603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622-433B-8AA8-A9A47CE603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622-433B-8AA8-A9A47CE603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622-433B-8AA8-A9A47CE603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622-433B-8AA8-A9A47CE603B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622-433B-8AA8-A9A47CE603B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622-433B-8AA8-A9A47CE603B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622-433B-8AA8-A9A47CE603B0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622-433B-8AA8-A9A47CE603B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622-433B-8AA8-A9A47CE603B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622-433B-8AA8-A9A47CE603B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622-433B-8AA8-A9A47CE603B0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622-433B-8AA8-A9A47CE603B0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622-433B-8AA8-A9A47CE603B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622-433B-8AA8-A9A47CE603B0}"/>
              </c:ext>
            </c:extLst>
          </c:dPt>
          <c:dPt>
            <c:idx val="15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622-433B-8AA8-A9A47CE603B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3622-433B-8AA8-A9A47CE603B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3622-433B-8AA8-A9A47CE603B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3622-433B-8AA8-A9A47CE603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'2025.08'!$A$2:$A$28</c15:sqref>
                  </c15:fullRef>
                </c:ext>
              </c:extLst>
              <c:f>'2025.08'!$A$2:$A$20</c:f>
              <c:strCache>
                <c:ptCount val="19"/>
                <c:pt idx="0">
                  <c:v>맞히기</c:v>
                </c:pt>
                <c:pt idx="1">
                  <c:v>대전</c:v>
                </c:pt>
                <c:pt idx="2">
                  <c:v>컨트롤</c:v>
                </c:pt>
                <c:pt idx="3">
                  <c:v>디펜스</c:v>
                </c:pt>
                <c:pt idx="4">
                  <c:v>컴까기</c:v>
                </c:pt>
                <c:pt idx="5">
                  <c:v>RPG</c:v>
                </c:pt>
                <c:pt idx="6">
                  <c:v>서바이벌</c:v>
                </c:pt>
                <c:pt idx="7">
                  <c:v>키우기</c:v>
                </c:pt>
                <c:pt idx="8">
                  <c:v>기타</c:v>
                </c:pt>
                <c:pt idx="9">
                  <c:v>캠페인</c:v>
                </c:pt>
                <c:pt idx="10">
                  <c:v>미니게임</c:v>
                </c:pt>
                <c:pt idx="11">
                  <c:v>병맛</c:v>
                </c:pt>
                <c:pt idx="12">
                  <c:v>호환요청</c:v>
                </c:pt>
                <c:pt idx="13">
                  <c:v>퍼즐</c:v>
                </c:pt>
                <c:pt idx="14">
                  <c:v>디플로메시</c:v>
                </c:pt>
                <c:pt idx="15">
                  <c:v>밀리기반</c:v>
                </c:pt>
                <c:pt idx="16">
                  <c:v>리듬게임</c:v>
                </c:pt>
                <c:pt idx="17">
                  <c:v>공포</c:v>
                </c:pt>
                <c:pt idx="18">
                  <c:v>오펜스</c:v>
                </c:pt>
                <c:pt idx="19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'2025.08'!$B$2:$B$27</c15:sqref>
                  </c15:fullRef>
                </c:ext>
              </c:extLst>
              <c:f>'2025.08'!$B$2:$B$20</c:f>
              <c:numCache>
                <c:formatCode>General</c:formatCode>
                <c:ptCount val="19"/>
                <c:pt idx="0">
                  <c:v>43</c:v>
                </c:pt>
                <c:pt idx="1">
                  <c:v>17</c:v>
                </c:pt>
                <c:pt idx="2">
                  <c:v>15</c:v>
                </c:pt>
                <c:pt idx="3">
                  <c:v>14</c:v>
                </c:pt>
                <c:pt idx="4">
                  <c:v>12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'2025.08'!$B$23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'2025.08'!$B$24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0-3622-433B-8AA8-A9A47CE603B0}"/>
            </c:ext>
          </c:extLst>
        </c:ser>
        <c:ser>
          <c:idx val="0"/>
          <c:order val="1"/>
          <c:tx>
            <c:strRef>
              <c:f>'2025.08'!$B$1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2-3622-433B-8AA8-A9A47CE603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3622-433B-8AA8-A9A47CE603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3622-433B-8AA8-A9A47CE603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3622-433B-8AA8-A9A47CE603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3622-433B-8AA8-A9A47CE603B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3622-433B-8AA8-A9A47CE603B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3622-433B-8AA8-A9A47CE603B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3622-433B-8AA8-A9A47CE603B0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3622-433B-8AA8-A9A47CE603B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3622-433B-8AA8-A9A47CE603B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3622-433B-8AA8-A9A47CE603B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3622-433B-8AA8-A9A47CE603B0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3622-433B-8AA8-A9A47CE603B0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3622-433B-8AA8-A9A47CE603B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3622-433B-8AA8-A9A47CE603B0}"/>
              </c:ext>
            </c:extLst>
          </c:dPt>
          <c:dPt>
            <c:idx val="15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3622-433B-8AA8-A9A47CE603B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9-3622-433B-8AA8-A9A47CE603B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B-3622-433B-8AA8-A9A47CE603B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D-3622-433B-8AA8-A9A47CE603B0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3622-433B-8AA8-A9A47CE603B0}"/>
                </c:ext>
              </c:extLst>
            </c:dLbl>
            <c:dLbl>
              <c:idx val="6"/>
              <c:layout>
                <c:manualLayout>
                  <c:x val="-3.0331922795364865E-3"/>
                  <c:y val="4.261736763996383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3622-433B-8AA8-A9A47CE603B0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3622-433B-8AA8-A9A47CE603B0}"/>
                </c:ext>
              </c:extLst>
            </c:dLbl>
            <c:dLbl>
              <c:idx val="8"/>
              <c:layout>
                <c:manualLayout>
                  <c:x val="-1.5299278066432172E-3"/>
                  <c:y val="-2.15716877261229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3622-433B-8AA8-A9A47CE603B0}"/>
                </c:ext>
              </c:extLst>
            </c:dLbl>
            <c:dLbl>
              <c:idx val="9"/>
              <c:layout>
                <c:manualLayout>
                  <c:x val="-1.5117157974300832E-3"/>
                  <c:y val="-1.363326370349648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3622-433B-8AA8-A9A47CE603B0}"/>
                </c:ext>
              </c:extLst>
            </c:dLbl>
            <c:dLbl>
              <c:idx val="10"/>
              <c:layout>
                <c:manualLayout>
                  <c:x val="-4.4933669005660006E-3"/>
                  <c:y val="-1.196399401381615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3622-433B-8AA8-A9A47CE603B0}"/>
                </c:ext>
              </c:extLst>
            </c:dLbl>
            <c:dLbl>
              <c:idx val="11"/>
              <c:layout>
                <c:manualLayout>
                  <c:x val="-5.5428938919270718E-17"/>
                  <c:y val="-5.453305481398617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3622-433B-8AA8-A9A47CE603B0}"/>
                </c:ext>
              </c:extLst>
            </c:dLbl>
            <c:dLbl>
              <c:idx val="12"/>
              <c:layout>
                <c:manualLayout>
                  <c:x val="-7.7468887817594229E-2"/>
                  <c:y val="-5.003085733583913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3622-433B-8AA8-A9A47CE603B0}"/>
                </c:ext>
              </c:extLst>
            </c:dLbl>
            <c:dLbl>
              <c:idx val="13"/>
              <c:layout>
                <c:manualLayout>
                  <c:x val="-6.2091048142791677E-2"/>
                  <c:y val="-5.993236398323602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3622-433B-8AA8-A9A47CE603B0}"/>
                </c:ext>
              </c:extLst>
            </c:dLbl>
            <c:dLbl>
              <c:idx val="14"/>
              <c:layout>
                <c:manualLayout>
                  <c:x val="-7.4153945042583963E-2"/>
                  <c:y val="-7.378150558679338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3622-433B-8AA8-A9A47CE603B0}"/>
                </c:ext>
              </c:extLst>
            </c:dLbl>
            <c:dLbl>
              <c:idx val="15"/>
              <c:layout>
                <c:manualLayout>
                  <c:x val="-2.2595865992941357E-2"/>
                  <c:y val="-9.727419531271218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3622-433B-8AA8-A9A47CE603B0}"/>
                </c:ext>
              </c:extLst>
            </c:dLbl>
            <c:dLbl>
              <c:idx val="16"/>
              <c:layout>
                <c:manualLayout>
                  <c:x val="4.5351473922902496E-3"/>
                  <c:y val="-0.1104294359983214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3622-433B-8AA8-A9A47CE603B0}"/>
                </c:ext>
              </c:extLst>
            </c:dLbl>
            <c:dLbl>
              <c:idx val="18"/>
              <c:layout>
                <c:manualLayout>
                  <c:x val="4.8374905517762662E-2"/>
                  <c:y val="-8.861621407272715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3622-433B-8AA8-A9A47CE603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'2025.08'!$A$2:$A$28</c15:sqref>
                  </c15:fullRef>
                </c:ext>
              </c:extLst>
              <c:f>'2025.08'!$A$2:$A$20</c:f>
              <c:strCache>
                <c:ptCount val="19"/>
                <c:pt idx="0">
                  <c:v>맞히기</c:v>
                </c:pt>
                <c:pt idx="1">
                  <c:v>대전</c:v>
                </c:pt>
                <c:pt idx="2">
                  <c:v>컨트롤</c:v>
                </c:pt>
                <c:pt idx="3">
                  <c:v>디펜스</c:v>
                </c:pt>
                <c:pt idx="4">
                  <c:v>컴까기</c:v>
                </c:pt>
                <c:pt idx="5">
                  <c:v>RPG</c:v>
                </c:pt>
                <c:pt idx="6">
                  <c:v>서바이벌</c:v>
                </c:pt>
                <c:pt idx="7">
                  <c:v>키우기</c:v>
                </c:pt>
                <c:pt idx="8">
                  <c:v>기타</c:v>
                </c:pt>
                <c:pt idx="9">
                  <c:v>캠페인</c:v>
                </c:pt>
                <c:pt idx="10">
                  <c:v>미니게임</c:v>
                </c:pt>
                <c:pt idx="11">
                  <c:v>병맛</c:v>
                </c:pt>
                <c:pt idx="12">
                  <c:v>호환요청</c:v>
                </c:pt>
                <c:pt idx="13">
                  <c:v>퍼즐</c:v>
                </c:pt>
                <c:pt idx="14">
                  <c:v>디플로메시</c:v>
                </c:pt>
                <c:pt idx="15">
                  <c:v>밀리기반</c:v>
                </c:pt>
                <c:pt idx="16">
                  <c:v>리듬게임</c:v>
                </c:pt>
                <c:pt idx="17">
                  <c:v>공포</c:v>
                </c:pt>
                <c:pt idx="18">
                  <c:v>오펜스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'2025.08'!$B$2:$B$28</c15:sqref>
                  </c15:fullRef>
                </c:ext>
              </c:extLst>
              <c:f>'2025.08'!$B$2:$B$20</c:f>
              <c:numCache>
                <c:formatCode>General</c:formatCode>
                <c:ptCount val="19"/>
                <c:pt idx="0">
                  <c:v>43</c:v>
                </c:pt>
                <c:pt idx="1">
                  <c:v>17</c:v>
                </c:pt>
                <c:pt idx="2">
                  <c:v>15</c:v>
                </c:pt>
                <c:pt idx="3">
                  <c:v>14</c:v>
                </c:pt>
                <c:pt idx="4">
                  <c:v>12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'2025.08'!$B$23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-1.5117157974301385E-3"/>
                        <c:y val="-0.1063394568872725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9C00-4C7C-AFB5-8454384DEB9F}"/>
                      </c:ext>
                    </c:extLst>
                  </c15:dLbl>
                </c15:categoryFilterException>
                <c15:categoryFilterException>
                  <c15:sqref>'2025.08'!$B$24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8"/>
                    <c:layout>
                      <c:manualLayout>
                        <c:x val="9.0702947845804991E-3"/>
                        <c:y val="-7.498295036923065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9C00-4C7C-AFB5-8454384DEB9F}"/>
                      </c:ext>
                    </c:extLst>
                  </c15:dLbl>
                </c15:categoryFilterException>
                <c15:categoryFilterException>
                  <c15:sqref>'2025.08'!$B$28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1-3622-433B-8AA8-A9A47CE60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'2025.08'!$B$1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44-40BF-80B4-AC86CD6F37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44-40BF-80B4-AC86CD6F37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544-40BF-80B4-AC86CD6F37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544-40BF-80B4-AC86CD6F37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544-40BF-80B4-AC86CD6F37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544-40BF-80B4-AC86CD6F37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544-40BF-80B4-AC86CD6F374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544-40BF-80B4-AC86CD6F374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544-40BF-80B4-AC86CD6F374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544-40BF-80B4-AC86CD6F374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544-40BF-80B4-AC86CD6F374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544-40BF-80B4-AC86CD6F374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544-40BF-80B4-AC86CD6F374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544-40BF-80B4-AC86CD6F3744}"/>
              </c:ext>
            </c:extLst>
          </c:dPt>
          <c:dPt>
            <c:idx val="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544-40BF-80B4-AC86CD6F3744}"/>
              </c:ext>
            </c:extLst>
          </c:dPt>
          <c:dPt>
            <c:idx val="1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9544-40BF-80B4-AC86CD6F374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9544-40BF-80B4-AC86CD6F374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9544-40BF-80B4-AC86CD6F37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'2025.08'!$A$2:$A$27</c15:sqref>
                  </c15:fullRef>
                </c:ext>
              </c:extLst>
              <c:f>'2025.08'!$A$3:$A$20</c:f>
              <c:strCache>
                <c:ptCount val="18"/>
                <c:pt idx="0">
                  <c:v>대전</c:v>
                </c:pt>
                <c:pt idx="1">
                  <c:v>컨트롤</c:v>
                </c:pt>
                <c:pt idx="2">
                  <c:v>디펜스</c:v>
                </c:pt>
                <c:pt idx="3">
                  <c:v>컴까기</c:v>
                </c:pt>
                <c:pt idx="4">
                  <c:v>RPG</c:v>
                </c:pt>
                <c:pt idx="5">
                  <c:v>서바이벌</c:v>
                </c:pt>
                <c:pt idx="6">
                  <c:v>키우기</c:v>
                </c:pt>
                <c:pt idx="7">
                  <c:v>기타</c:v>
                </c:pt>
                <c:pt idx="8">
                  <c:v>캠페인</c:v>
                </c:pt>
                <c:pt idx="9">
                  <c:v>미니게임</c:v>
                </c:pt>
                <c:pt idx="10">
                  <c:v>병맛</c:v>
                </c:pt>
                <c:pt idx="11">
                  <c:v>호환요청</c:v>
                </c:pt>
                <c:pt idx="12">
                  <c:v>퍼즐</c:v>
                </c:pt>
                <c:pt idx="13">
                  <c:v>디플로메시</c:v>
                </c:pt>
                <c:pt idx="14">
                  <c:v>밀리기반</c:v>
                </c:pt>
                <c:pt idx="15">
                  <c:v>리듬게임</c:v>
                </c:pt>
                <c:pt idx="16">
                  <c:v>공포</c:v>
                </c:pt>
                <c:pt idx="17">
                  <c:v>오펜스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'2025.08'!$B$2:$B$27</c15:sqref>
                  </c15:fullRef>
                </c:ext>
              </c:extLst>
              <c:f>'2025.08'!$B$3:$B$20</c:f>
              <c:numCache>
                <c:formatCode>General</c:formatCode>
                <c:ptCount val="18"/>
                <c:pt idx="0">
                  <c:v>17</c:v>
                </c:pt>
                <c:pt idx="1">
                  <c:v>15</c:v>
                </c:pt>
                <c:pt idx="2">
                  <c:v>14</c:v>
                </c:pt>
                <c:pt idx="3">
                  <c:v>12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'2025.08'!$B$2</c15:sqref>
                  <c15:bubble3D val="0"/>
                </c15:categoryFilterException>
                <c15:categoryFilterException>
                  <c15:sqref>'2025.08'!$B$21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'2025.08'!$B$22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'2025.08'!$B$23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'2025.08'!$B$24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'2025.08'!$B$25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'2025.08'!$B$26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'2025.08'!$B$27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E-9544-40BF-80B4-AC86CD6F3744}"/>
            </c:ext>
          </c:extLst>
        </c:ser>
        <c:ser>
          <c:idx val="0"/>
          <c:order val="1"/>
          <c:tx>
            <c:strRef>
              <c:f>'2025.08'!$B$1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9544-40BF-80B4-AC86CD6F37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9544-40BF-80B4-AC86CD6F37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9544-40BF-80B4-AC86CD6F37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9544-40BF-80B4-AC86CD6F37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9544-40BF-80B4-AC86CD6F37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9544-40BF-80B4-AC86CD6F37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9544-40BF-80B4-AC86CD6F374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9544-40BF-80B4-AC86CD6F374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9544-40BF-80B4-AC86CD6F374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9544-40BF-80B4-AC86CD6F374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9544-40BF-80B4-AC86CD6F374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9544-40BF-80B4-AC86CD6F374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9544-40BF-80B4-AC86CD6F374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9544-40BF-80B4-AC86CD6F3744}"/>
              </c:ext>
            </c:extLst>
          </c:dPt>
          <c:dPt>
            <c:idx val="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9544-40BF-80B4-AC86CD6F3744}"/>
              </c:ext>
            </c:extLst>
          </c:dPt>
          <c:dPt>
            <c:idx val="1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9544-40BF-80B4-AC86CD6F374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9544-40BF-80B4-AC86CD6F374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9544-40BF-80B4-AC86CD6F3744}"/>
              </c:ext>
            </c:extLst>
          </c:dPt>
          <c:dLbls>
            <c:dLbl>
              <c:idx val="1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9544-40BF-80B4-AC86CD6F3744}"/>
                </c:ext>
              </c:extLst>
            </c:dLbl>
            <c:dLbl>
              <c:idx val="5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A-9544-40BF-80B4-AC86CD6F3744}"/>
                </c:ext>
              </c:extLst>
            </c:dLbl>
            <c:dLbl>
              <c:idx val="6"/>
              <c:layout>
                <c:manualLayout>
                  <c:x val="-1.0581869745679823E-3"/>
                  <c:y val="-6.1864903949455466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9544-40BF-80B4-AC86CD6F3744}"/>
                </c:ext>
              </c:extLst>
            </c:dLbl>
            <c:dLbl>
              <c:idx val="7"/>
              <c:layout>
                <c:manualLayout>
                  <c:x val="-1.4233535745508193E-3"/>
                  <c:y val="-4.278938893167552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9544-40BF-80B4-AC86CD6F3744}"/>
                </c:ext>
              </c:extLst>
            </c:dLbl>
            <c:dLbl>
              <c:idx val="9"/>
              <c:layout>
                <c:manualLayout>
                  <c:x val="-1.5117157974300554E-3"/>
                  <c:y val="-4.08997911104894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9544-40BF-80B4-AC86CD6F3744}"/>
                </c:ext>
              </c:extLst>
            </c:dLbl>
            <c:dLbl>
              <c:idx val="11"/>
              <c:layout>
                <c:manualLayout>
                  <c:x val="-9.4011208344953981E-2"/>
                  <c:y val="-5.91215223876513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9544-40BF-80B4-AC86CD6F3744}"/>
                </c:ext>
              </c:extLst>
            </c:dLbl>
            <c:dLbl>
              <c:idx val="12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9544-40BF-80B4-AC86CD6F3744}"/>
                </c:ext>
              </c:extLst>
            </c:dLbl>
            <c:dLbl>
              <c:idx val="13"/>
              <c:layout>
                <c:manualLayout>
                  <c:x val="-8.767099879660202E-2"/>
                  <c:y val="-7.000179860891482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9544-40BF-80B4-AC86CD6F3744}"/>
                </c:ext>
              </c:extLst>
            </c:dLbl>
            <c:dLbl>
              <c:idx val="14"/>
              <c:layout>
                <c:manualLayout>
                  <c:x val="-1.9654827845872365E-2"/>
                  <c:y val="-6.941875961169360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9544-40BF-80B4-AC86CD6F3744}"/>
                </c:ext>
              </c:extLst>
            </c:dLbl>
            <c:dLbl>
              <c:idx val="15"/>
              <c:layout>
                <c:manualLayout>
                  <c:x val="-5.5981358797633468E-2"/>
                  <c:y val="-9.322316753136704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9544-40BF-80B4-AC86CD6F3744}"/>
                </c:ext>
              </c:extLst>
            </c:dLbl>
            <c:dLbl>
              <c:idx val="17"/>
              <c:layout>
                <c:manualLayout>
                  <c:x val="-4.514721157334519E-2"/>
                  <c:y val="-0.1060612919242862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9544-40BF-80B4-AC86CD6F37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'2025.08'!$A$2:$A$27</c15:sqref>
                  </c15:fullRef>
                </c:ext>
              </c:extLst>
              <c:f>'2025.08'!$A$3:$A$20</c:f>
              <c:strCache>
                <c:ptCount val="18"/>
                <c:pt idx="0">
                  <c:v>대전</c:v>
                </c:pt>
                <c:pt idx="1">
                  <c:v>컨트롤</c:v>
                </c:pt>
                <c:pt idx="2">
                  <c:v>디펜스</c:v>
                </c:pt>
                <c:pt idx="3">
                  <c:v>컴까기</c:v>
                </c:pt>
                <c:pt idx="4">
                  <c:v>RPG</c:v>
                </c:pt>
                <c:pt idx="5">
                  <c:v>서바이벌</c:v>
                </c:pt>
                <c:pt idx="6">
                  <c:v>키우기</c:v>
                </c:pt>
                <c:pt idx="7">
                  <c:v>기타</c:v>
                </c:pt>
                <c:pt idx="8">
                  <c:v>캠페인</c:v>
                </c:pt>
                <c:pt idx="9">
                  <c:v>미니게임</c:v>
                </c:pt>
                <c:pt idx="10">
                  <c:v>병맛</c:v>
                </c:pt>
                <c:pt idx="11">
                  <c:v>호환요청</c:v>
                </c:pt>
                <c:pt idx="12">
                  <c:v>퍼즐</c:v>
                </c:pt>
                <c:pt idx="13">
                  <c:v>디플로메시</c:v>
                </c:pt>
                <c:pt idx="14">
                  <c:v>밀리기반</c:v>
                </c:pt>
                <c:pt idx="15">
                  <c:v>리듬게임</c:v>
                </c:pt>
                <c:pt idx="16">
                  <c:v>공포</c:v>
                </c:pt>
                <c:pt idx="17">
                  <c:v>오펜스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'2025.08'!$B$2:$B$27</c15:sqref>
                  </c15:fullRef>
                </c:ext>
              </c:extLst>
              <c:f>'2025.08'!$B$3:$B$20</c:f>
              <c:numCache>
                <c:formatCode>General</c:formatCode>
                <c:ptCount val="18"/>
                <c:pt idx="0">
                  <c:v>17</c:v>
                </c:pt>
                <c:pt idx="1">
                  <c:v>15</c:v>
                </c:pt>
                <c:pt idx="2">
                  <c:v>14</c:v>
                </c:pt>
                <c:pt idx="3">
                  <c:v>12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'2025.08'!$B$2</c15:sqref>
                  <c15:bubble3D val="0"/>
                </c15:categoryFilterException>
                <c15:categoryFilterException>
                  <c15:sqref>'2025.08'!$B$21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3.4720415831237708E-2"/>
                        <c:y val="-0.10350219736091359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8-B396-402D-B5D3-6FCF91000F54}"/>
                      </c:ext>
                    </c:extLst>
                  </c15:dLbl>
                </c15:categoryFilterException>
                <c15:categoryFilterException>
                  <c15:sqref>'2025.08'!$B$22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3.0234315948601664E-3"/>
                        <c:y val="-8.861621407272712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A-B396-402D-B5D3-6FCF91000F54}"/>
                      </c:ext>
                    </c:extLst>
                  </c15:dLbl>
                </c15:categoryFilterException>
                <c15:categoryFilterException>
                  <c15:sqref>'2025.08'!$B$23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8.8741544159194104E-3"/>
                        <c:y val="-2.9437634945965281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C-B396-402D-B5D3-6FCF91000F54}"/>
                      </c:ext>
                    </c:extLst>
                  </c15:dLbl>
                </c15:categoryFilterException>
                <c15:categoryFilterException>
                  <c15:sqref>'2025.08'!$B$24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'2025.08'!$B$25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8.1501786559468742E-2"/>
                        <c:y val="-5.3913905781863745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0-B396-402D-B5D3-6FCF91000F54}"/>
                      </c:ext>
                    </c:extLst>
                  </c15:dLbl>
                </c15:categoryFilterException>
                <c15:categoryFilterException>
                  <c15:sqref>'2025.08'!$B$26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7.5457465339771896E-3"/>
                        <c:y val="-9.798787166221241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2-B396-402D-B5D3-6FCF91000F54}"/>
                      </c:ext>
                    </c:extLst>
                  </c15:dLbl>
                </c15:categoryFilterException>
                <c15:categoryFilterException>
                  <c15:sqref>'2025.08'!$B$27</c15:sqref>
                  <c15:bubble3D val="0"/>
                  <c15:dLbl>
                    <c:idx val="17"/>
                    <c:layout>
                      <c:manualLayout>
                        <c:x val="-4.5274479203863691E-3"/>
                        <c:y val="-8.8149943627492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B396-402D-B5D3-6FCF91000F54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D-9544-40BF-80B4-AC86CD6F3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'2025.09'!$B$1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B92-4118-8C5F-43E0304800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B92-4118-8C5F-43E0304800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B92-4118-8C5F-43E0304800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B92-4118-8C5F-43E0304800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B92-4118-8C5F-43E03048000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B92-4118-8C5F-43E03048000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B92-4118-8C5F-43E03048000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B92-4118-8C5F-43E030480009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B92-4118-8C5F-43E03048000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B92-4118-8C5F-43E03048000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B92-4118-8C5F-43E03048000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B92-4118-8C5F-43E030480009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B92-4118-8C5F-43E0304800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'2025.09'!$A$2:$A$28</c15:sqref>
                  </c15:fullRef>
                </c:ext>
              </c:extLst>
              <c:f>'2025.09'!$A$2:$A$14</c:f>
              <c:strCache>
                <c:ptCount val="13"/>
                <c:pt idx="0">
                  <c:v>맞히기</c:v>
                </c:pt>
                <c:pt idx="1">
                  <c:v>대전</c:v>
                </c:pt>
                <c:pt idx="2">
                  <c:v>디펜스</c:v>
                </c:pt>
                <c:pt idx="3">
                  <c:v>컨트롤</c:v>
                </c:pt>
                <c:pt idx="4">
                  <c:v>컴까기</c:v>
                </c:pt>
                <c:pt idx="5">
                  <c:v>서바이벌</c:v>
                </c:pt>
                <c:pt idx="6">
                  <c:v>RPG</c:v>
                </c:pt>
                <c:pt idx="7">
                  <c:v>기타</c:v>
                </c:pt>
                <c:pt idx="8">
                  <c:v>키우기</c:v>
                </c:pt>
                <c:pt idx="9">
                  <c:v>캠페인</c:v>
                </c:pt>
                <c:pt idx="10">
                  <c:v>호환요청</c:v>
                </c:pt>
                <c:pt idx="11">
                  <c:v>퍼즐</c:v>
                </c:pt>
                <c:pt idx="12">
                  <c:v>디플로메시</c:v>
                </c:pt>
                <c:pt idx="13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'2025.09'!$B$2:$B$27</c15:sqref>
                  </c15:fullRef>
                </c:ext>
              </c:extLst>
              <c:f>'2025.09'!$B$2:$B$14</c:f>
              <c:numCache>
                <c:formatCode>General</c:formatCode>
                <c:ptCount val="13"/>
                <c:pt idx="0">
                  <c:v>41</c:v>
                </c:pt>
                <c:pt idx="1">
                  <c:v>12</c:v>
                </c:pt>
                <c:pt idx="2">
                  <c:v>10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'2025.09'!$B$15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'2025.09'!$B$16</c15:sqref>
                  <c15:spPr xmlns:c15="http://schemas.microsoft.com/office/drawing/2012/chart"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'2025.09'!$B$17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'2025.09'!$B$24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6-8B92-4118-8C5F-43E030480009}"/>
            </c:ext>
          </c:extLst>
        </c:ser>
        <c:ser>
          <c:idx val="0"/>
          <c:order val="1"/>
          <c:tx>
            <c:strRef>
              <c:f>'2025.09'!$B$1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8B92-4118-8C5F-43E0304800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8B92-4118-8C5F-43E0304800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8B92-4118-8C5F-43E0304800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8B92-4118-8C5F-43E0304800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8B92-4118-8C5F-43E03048000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8B92-4118-8C5F-43E03048000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8B92-4118-8C5F-43E03048000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8B92-4118-8C5F-43E030480009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8B92-4118-8C5F-43E03048000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8B92-4118-8C5F-43E03048000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8B92-4118-8C5F-43E03048000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8B92-4118-8C5F-43E030480009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8B92-4118-8C5F-43E030480009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B92-4118-8C5F-43E030480009}"/>
                </c:ext>
              </c:extLst>
            </c:dLbl>
            <c:dLbl>
              <c:idx val="6"/>
              <c:layout>
                <c:manualLayout>
                  <c:x val="-3.0331922795364865E-3"/>
                  <c:y val="4.261736763996383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8B92-4118-8C5F-43E030480009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8B92-4118-8C5F-43E030480009}"/>
                </c:ext>
              </c:extLst>
            </c:dLbl>
            <c:dLbl>
              <c:idx val="8"/>
              <c:layout>
                <c:manualLayout>
                  <c:x val="-1.5299278066432172E-3"/>
                  <c:y val="-2.15716877261229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8B92-4118-8C5F-43E030480009}"/>
                </c:ext>
              </c:extLst>
            </c:dLbl>
            <c:dLbl>
              <c:idx val="9"/>
              <c:layout>
                <c:manualLayout>
                  <c:x val="-1.5117157974300832E-3"/>
                  <c:y val="-1.363326370349648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8B92-4118-8C5F-43E030480009}"/>
                </c:ext>
              </c:extLst>
            </c:dLbl>
            <c:dLbl>
              <c:idx val="10"/>
              <c:layout>
                <c:manualLayout>
                  <c:x val="-3.4727682849167663E-2"/>
                  <c:y val="-7.481602340026266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8B92-4118-8C5F-43E030480009}"/>
                </c:ext>
              </c:extLst>
            </c:dLbl>
            <c:dLbl>
              <c:idx val="11"/>
              <c:layout>
                <c:manualLayout>
                  <c:x val="-5.5428938919270718E-17"/>
                  <c:y val="-5.453305481398617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8B92-4118-8C5F-43E030480009}"/>
                </c:ext>
              </c:extLst>
            </c:dLbl>
            <c:dLbl>
              <c:idx val="12"/>
              <c:layout>
                <c:manualLayout>
                  <c:x val="-3.713821486599335E-4"/>
                  <c:y val="-8.138736385388105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8B92-4118-8C5F-43E0304800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'2025.09'!$A$2:$A$28</c15:sqref>
                  </c15:fullRef>
                </c:ext>
              </c:extLst>
              <c:f>'2025.09'!$A$2:$A$14</c:f>
              <c:strCache>
                <c:ptCount val="13"/>
                <c:pt idx="0">
                  <c:v>맞히기</c:v>
                </c:pt>
                <c:pt idx="1">
                  <c:v>대전</c:v>
                </c:pt>
                <c:pt idx="2">
                  <c:v>디펜스</c:v>
                </c:pt>
                <c:pt idx="3">
                  <c:v>컨트롤</c:v>
                </c:pt>
                <c:pt idx="4">
                  <c:v>컴까기</c:v>
                </c:pt>
                <c:pt idx="5">
                  <c:v>서바이벌</c:v>
                </c:pt>
                <c:pt idx="6">
                  <c:v>RPG</c:v>
                </c:pt>
                <c:pt idx="7">
                  <c:v>기타</c:v>
                </c:pt>
                <c:pt idx="8">
                  <c:v>키우기</c:v>
                </c:pt>
                <c:pt idx="9">
                  <c:v>캠페인</c:v>
                </c:pt>
                <c:pt idx="10">
                  <c:v>호환요청</c:v>
                </c:pt>
                <c:pt idx="11">
                  <c:v>퍼즐</c:v>
                </c:pt>
                <c:pt idx="12">
                  <c:v>디플로메시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'2025.09'!$B$2:$B$28</c15:sqref>
                  </c15:fullRef>
                </c:ext>
              </c:extLst>
              <c:f>'2025.09'!$B$2:$B$14</c:f>
              <c:numCache>
                <c:formatCode>General</c:formatCode>
                <c:ptCount val="13"/>
                <c:pt idx="0">
                  <c:v>41</c:v>
                </c:pt>
                <c:pt idx="1">
                  <c:v>12</c:v>
                </c:pt>
                <c:pt idx="2">
                  <c:v>10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'2025.09'!$B$15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2"/>
                    <c:layout>
                      <c:manualLayout>
                        <c:x val="-6.2091048142791677E-2"/>
                        <c:y val="-5.993236398323602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5-81B8-4BC0-A933-B347676EAA73}"/>
                      </c:ext>
                    </c:extLst>
                  </c15:dLbl>
                </c15:categoryFilterException>
                <c15:categoryFilterException>
                  <c15:sqref>'2025.09'!$B$16</c15:sqref>
                  <c15:spPr xmlns:c15="http://schemas.microsoft.com/office/drawing/2012/chart"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2"/>
                    <c:layout>
                      <c:manualLayout>
                        <c:x val="-7.4153945042583963E-2"/>
                        <c:y val="-7.378150558679338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7-81B8-4BC0-A933-B347676EAA73}"/>
                      </c:ext>
                    </c:extLst>
                  </c15:dLbl>
                </c15:categoryFilterException>
                <c15:categoryFilterException>
                  <c15:sqref>'2025.09'!$B$17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2"/>
                    <c:layout>
                      <c:manualLayout>
                        <c:x val="-2.2595865992941357E-2"/>
                        <c:y val="-9.727419531271218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81B8-4BC0-A933-B347676EAA73}"/>
                      </c:ext>
                    </c:extLst>
                  </c15:dLbl>
                </c15:categoryFilterException>
                <c15:categoryFilterException>
                  <c15:sqref>'2025.09'!$B$18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2"/>
                    <c:layout>
                      <c:manualLayout>
                        <c:x val="4.5351473922902496E-3"/>
                        <c:y val="-0.11042943599832149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B-81B8-4BC0-A933-B347676EAA73}"/>
                      </c:ext>
                    </c:extLst>
                  </c15:dLbl>
                </c15:categoryFilterException>
                <c15:categoryFilterException>
                  <c15:sqref>'2025.09'!$B$19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'2025.09'!$B$20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2"/>
                    <c:layout>
                      <c:manualLayout>
                        <c:x val="4.8374905517762662E-2"/>
                        <c:y val="-8.8616214072727156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F-81B8-4BC0-A933-B347676EAA73}"/>
                      </c:ext>
                    </c:extLst>
                  </c15:dLbl>
                </c15:categoryFilterException>
                <c15:categoryFilterException>
                  <c15:sqref>'2025.09'!$B$23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2"/>
                    <c:layout>
                      <c:manualLayout>
                        <c:x val="-1.5117157974301385E-3"/>
                        <c:y val="-0.1063394568872725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81B8-4BC0-A933-B347676EAA73}"/>
                      </c:ext>
                    </c:extLst>
                  </c15:dLbl>
                </c15:categoryFilterException>
                <c15:categoryFilterException>
                  <c15:sqref>'2025.09'!$B$24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2"/>
                    <c:layout>
                      <c:manualLayout>
                        <c:x val="9.0702947845804991E-3"/>
                        <c:y val="-7.498295036923065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81B8-4BC0-A933-B347676EAA73}"/>
                      </c:ext>
                    </c:extLst>
                  </c15:dLbl>
                </c15:categoryFilterException>
                <c15:categoryFilterException>
                  <c15:sqref>'2025.09'!$B$28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D-8B92-4118-8C5F-43E030480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'2025.09'!$B$1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1CA-4319-95BC-8EAAAC47F1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1CA-4319-95BC-8EAAAC47F1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1CA-4319-95BC-8EAAAC47F1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1CA-4319-95BC-8EAAAC47F1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1CA-4319-95BC-8EAAAC47F1B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1CA-4319-95BC-8EAAAC47F1B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1CA-4319-95BC-8EAAAC47F1B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1CA-4319-95BC-8EAAAC47F1B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1CA-4319-95BC-8EAAAC47F1B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1CA-4319-95BC-8EAAAC47F1B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1CA-4319-95BC-8EAAAC47F1B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1CA-4319-95BC-8EAAAC47F1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'2025.09'!$A$2:$A$27</c15:sqref>
                  </c15:fullRef>
                </c:ext>
              </c:extLst>
              <c:f>'2025.09'!$A$3:$A$14</c:f>
              <c:strCache>
                <c:ptCount val="12"/>
                <c:pt idx="0">
                  <c:v>대전</c:v>
                </c:pt>
                <c:pt idx="1">
                  <c:v>디펜스</c:v>
                </c:pt>
                <c:pt idx="2">
                  <c:v>컨트롤</c:v>
                </c:pt>
                <c:pt idx="3">
                  <c:v>컴까기</c:v>
                </c:pt>
                <c:pt idx="4">
                  <c:v>서바이벌</c:v>
                </c:pt>
                <c:pt idx="5">
                  <c:v>RPG</c:v>
                </c:pt>
                <c:pt idx="6">
                  <c:v>기타</c:v>
                </c:pt>
                <c:pt idx="7">
                  <c:v>키우기</c:v>
                </c:pt>
                <c:pt idx="8">
                  <c:v>캠페인</c:v>
                </c:pt>
                <c:pt idx="9">
                  <c:v>호환요청</c:v>
                </c:pt>
                <c:pt idx="10">
                  <c:v>퍼즐</c:v>
                </c:pt>
                <c:pt idx="11">
                  <c:v>디플로메시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'2025.09'!$B$2:$B$27</c15:sqref>
                  </c15:fullRef>
                </c:ext>
              </c:extLst>
              <c:f>'2025.09'!$B$3:$B$14</c:f>
              <c:numCache>
                <c:formatCode>General</c:formatCode>
                <c:ptCount val="12"/>
                <c:pt idx="0">
                  <c:v>12</c:v>
                </c:pt>
                <c:pt idx="1">
                  <c:v>10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'2025.09'!$B$2</c15:sqref>
                  <c15:bubble3D val="0"/>
                </c15:categoryFilterException>
                <c15:categoryFilterException>
                  <c15:sqref>'2025.09'!$B$15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'2025.09'!$B$16</c15:sqref>
                  <c15:spPr xmlns:c15="http://schemas.microsoft.com/office/drawing/2012/chart"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'2025.09'!$B$17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'2025.09'!$B$18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'2025.09'!$B$21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'2025.09'!$B$24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'2025.09'!$B$26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'2025.09'!$B$27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4-A1CA-4319-95BC-8EAAAC47F1B8}"/>
            </c:ext>
          </c:extLst>
        </c:ser>
        <c:ser>
          <c:idx val="0"/>
          <c:order val="1"/>
          <c:tx>
            <c:strRef>
              <c:f>'2025.09'!$B$1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A1CA-4319-95BC-8EAAAC47F1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A1CA-4319-95BC-8EAAAC47F1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A1CA-4319-95BC-8EAAAC47F1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A1CA-4319-95BC-8EAAAC47F1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A1CA-4319-95BC-8EAAAC47F1B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A1CA-4319-95BC-8EAAAC47F1B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A1CA-4319-95BC-8EAAAC47F1B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A1CA-4319-95BC-8EAAAC47F1B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A1CA-4319-95BC-8EAAAC47F1B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A1CA-4319-95BC-8EAAAC47F1B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A1CA-4319-95BC-8EAAAC47F1B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A1CA-4319-95BC-8EAAAC47F1B8}"/>
              </c:ext>
            </c:extLst>
          </c:dPt>
          <c:dLbls>
            <c:dLbl>
              <c:idx val="2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A1CA-4319-95BC-8EAAAC47F1B8}"/>
                </c:ext>
              </c:extLst>
            </c:dLbl>
            <c:dLbl>
              <c:idx val="4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A1CA-4319-95BC-8EAAAC47F1B8}"/>
                </c:ext>
              </c:extLst>
            </c:dLbl>
            <c:dLbl>
              <c:idx val="6"/>
              <c:layout>
                <c:manualLayout>
                  <c:x val="-1.4233535745508193E-3"/>
                  <c:y val="-4.278938893167552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A1CA-4319-95BC-8EAAAC47F1B8}"/>
                </c:ext>
              </c:extLst>
            </c:dLbl>
            <c:dLbl>
              <c:idx val="7"/>
              <c:layout>
                <c:manualLayout>
                  <c:x val="-1.0581869745679823E-3"/>
                  <c:y val="-6.1864903949455466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A1CA-4319-95BC-8EAAAC47F1B8}"/>
                </c:ext>
              </c:extLst>
            </c:dLbl>
            <c:dLbl>
              <c:idx val="9"/>
              <c:layout>
                <c:manualLayout>
                  <c:x val="-3.4622499372277621E-3"/>
                  <c:y val="-1.632428717547582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A1CA-4319-95BC-8EAAAC47F1B8}"/>
                </c:ext>
              </c:extLst>
            </c:dLbl>
            <c:dLbl>
              <c:idx val="10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A1CA-4319-95BC-8EAAAC47F1B8}"/>
                </c:ext>
              </c:extLst>
            </c:dLbl>
            <c:dLbl>
              <c:idx val="11"/>
              <c:layout>
                <c:manualLayout>
                  <c:x val="-3.7869071672352518E-2"/>
                  <c:y val="-7.76670110982619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A1CA-4319-95BC-8EAAAC47F1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'2025.09'!$A$2:$A$27</c15:sqref>
                  </c15:fullRef>
                </c:ext>
              </c:extLst>
              <c:f>'2025.09'!$A$3:$A$14</c:f>
              <c:strCache>
                <c:ptCount val="12"/>
                <c:pt idx="0">
                  <c:v>대전</c:v>
                </c:pt>
                <c:pt idx="1">
                  <c:v>디펜스</c:v>
                </c:pt>
                <c:pt idx="2">
                  <c:v>컨트롤</c:v>
                </c:pt>
                <c:pt idx="3">
                  <c:v>컴까기</c:v>
                </c:pt>
                <c:pt idx="4">
                  <c:v>서바이벌</c:v>
                </c:pt>
                <c:pt idx="5">
                  <c:v>RPG</c:v>
                </c:pt>
                <c:pt idx="6">
                  <c:v>기타</c:v>
                </c:pt>
                <c:pt idx="7">
                  <c:v>키우기</c:v>
                </c:pt>
                <c:pt idx="8">
                  <c:v>캠페인</c:v>
                </c:pt>
                <c:pt idx="9">
                  <c:v>호환요청</c:v>
                </c:pt>
                <c:pt idx="10">
                  <c:v>퍼즐</c:v>
                </c:pt>
                <c:pt idx="11">
                  <c:v>디플로메시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'2025.09'!$B$2:$B$27</c15:sqref>
                  </c15:fullRef>
                </c:ext>
              </c:extLst>
              <c:f>'2025.09'!$B$3:$B$14</c:f>
              <c:numCache>
                <c:formatCode>General</c:formatCode>
                <c:ptCount val="12"/>
                <c:pt idx="0">
                  <c:v>12</c:v>
                </c:pt>
                <c:pt idx="1">
                  <c:v>10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'2025.09'!$B$2</c15:sqref>
                  <c15:bubble3D val="0"/>
                </c15:categoryFilterException>
                <c15:categoryFilterException>
                  <c15:sqref>'2025.09'!$B$15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1"/>
                    <c:layout>
                      <c:manualLayout>
                        <c:x val="-1.5117157974300554E-3"/>
                        <c:y val="-4.089979111048944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C-8B63-43CC-8448-B3EAE607BDCA}"/>
                      </c:ext>
                    </c:extLst>
                  </c15:dLbl>
                </c15:categoryFilterException>
                <c15:categoryFilterException>
                  <c15:sqref>'2025.09'!$B$16</c15:sqref>
                  <c15:spPr xmlns:c15="http://schemas.microsoft.com/office/drawing/2012/chart"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'2025.09'!$B$17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1"/>
                    <c:layout>
                      <c:manualLayout>
                        <c:x val="-1.9654827845872365E-2"/>
                        <c:y val="-6.941875961169360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0-8B63-43CC-8448-B3EAE607BDCA}"/>
                      </c:ext>
                    </c:extLst>
                  </c15:dLbl>
                </c15:categoryFilterException>
                <c15:categoryFilterException>
                  <c15:sqref>'2025.09'!$B$18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1"/>
                    <c:layout>
                      <c:manualLayout>
                        <c:x val="-5.5981358797633468E-2"/>
                        <c:y val="-9.322316753136704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2-8B63-43CC-8448-B3EAE607BDCA}"/>
                      </c:ext>
                    </c:extLst>
                  </c15:dLbl>
                </c15:categoryFilterException>
                <c15:categoryFilterException>
                  <c15:sqref>'2025.09'!$B$19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1"/>
                    <c:layout>
                      <c:manualLayout>
                        <c:x val="-4.514721157334519E-2"/>
                        <c:y val="-0.1060612919242862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6-8B63-43CC-8448-B3EAE607BDCA}"/>
                      </c:ext>
                    </c:extLst>
                  </c15:dLbl>
                </c15:categoryFilterException>
                <c15:categoryFilterException>
                  <c15:sqref>'2025.09'!$B$21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1"/>
                    <c:layout>
                      <c:manualLayout>
                        <c:x val="-3.4720415831237708E-2"/>
                        <c:y val="-0.10350219736091359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8-8B63-43CC-8448-B3EAE607BDCA}"/>
                      </c:ext>
                    </c:extLst>
                  </c15:dLbl>
                </c15:categoryFilterException>
                <c15:categoryFilterException>
                  <c15:sqref>'2025.09'!$B$22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1"/>
                    <c:layout>
                      <c:manualLayout>
                        <c:x val="-3.0234315948601664E-3"/>
                        <c:y val="-8.861621407272712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A-8B63-43CC-8448-B3EAE607BDCA}"/>
                      </c:ext>
                    </c:extLst>
                  </c15:dLbl>
                </c15:categoryFilterException>
                <c15:categoryFilterException>
                  <c15:sqref>'2025.09'!$B$23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1"/>
                    <c:layout>
                      <c:manualLayout>
                        <c:x val="-8.8741544159194104E-3"/>
                        <c:y val="-2.9437634945965281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C-8B63-43CC-8448-B3EAE607BDCA}"/>
                      </c:ext>
                    </c:extLst>
                  </c15:dLbl>
                </c15:categoryFilterException>
                <c15:categoryFilterException>
                  <c15:sqref>'2025.09'!$B$24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'2025.09'!$B$25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1"/>
                    <c:layout>
                      <c:manualLayout>
                        <c:x val="-8.1501786559468742E-2"/>
                        <c:y val="-5.3913905781863745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0-8B63-43CC-8448-B3EAE607BDCA}"/>
                      </c:ext>
                    </c:extLst>
                  </c15:dLbl>
                </c15:categoryFilterException>
                <c15:categoryFilterException>
                  <c15:sqref>'2025.09'!$B$26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1"/>
                    <c:layout>
                      <c:manualLayout>
                        <c:x val="-7.5457465339771896E-3"/>
                        <c:y val="-9.798787166221241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2-8B63-43CC-8448-B3EAE607BDCA}"/>
                      </c:ext>
                    </c:extLst>
                  </c15:dLbl>
                </c15:categoryFilterException>
                <c15:categoryFilterException>
                  <c15:sqref>'2025.09'!$B$27</c15:sqref>
                  <c15:bubble3D val="0"/>
                  <c15:dLbl>
                    <c:idx val="11"/>
                    <c:layout>
                      <c:manualLayout>
                        <c:x val="-4.5274479203863691E-3"/>
                        <c:y val="-8.8149943627492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8B63-43CC-8448-B3EAE607BDC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9-A1CA-4319-95BC-8EAAAC47F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'2025.10'!$B$1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534-498E-9C42-7EE0C856F2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534-498E-9C42-7EE0C856F2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534-498E-9C42-7EE0C856F2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534-498E-9C42-7EE0C856F2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534-498E-9C42-7EE0C856F2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534-498E-9C42-7EE0C856F2A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534-498E-9C42-7EE0C856F2A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534-498E-9C42-7EE0C856F2AE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534-498E-9C42-7EE0C856F2A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534-498E-9C42-7EE0C856F2A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534-498E-9C42-7EE0C856F2A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534-498E-9C42-7EE0C856F2AE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534-498E-9C42-7EE0C856F2AE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4534-498E-9C42-7EE0C856F2AE}"/>
              </c:ext>
            </c:extLst>
          </c:dPt>
          <c:dPt>
            <c:idx val="1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4534-498E-9C42-7EE0C856F2AE}"/>
              </c:ext>
            </c:extLst>
          </c:dPt>
          <c:dPt>
            <c:idx val="15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4534-498E-9C42-7EE0C856F2A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4534-498E-9C42-7EE0C856F2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'2025.10'!$A$2:$A$28</c15:sqref>
                  </c15:fullRef>
                </c:ext>
              </c:extLst>
              <c:f>'2025.10'!$A$2:$A$18</c:f>
              <c:strCache>
                <c:ptCount val="17"/>
                <c:pt idx="0">
                  <c:v>맞히기</c:v>
                </c:pt>
                <c:pt idx="1">
                  <c:v>디펜스</c:v>
                </c:pt>
                <c:pt idx="2">
                  <c:v>컴까기</c:v>
                </c:pt>
                <c:pt idx="3">
                  <c:v>RPG</c:v>
                </c:pt>
                <c:pt idx="4">
                  <c:v>대전</c:v>
                </c:pt>
                <c:pt idx="5">
                  <c:v>서바이벌</c:v>
                </c:pt>
                <c:pt idx="6">
                  <c:v>캠페인</c:v>
                </c:pt>
                <c:pt idx="7">
                  <c:v>컨트롤</c:v>
                </c:pt>
                <c:pt idx="8">
                  <c:v>키우기</c:v>
                </c:pt>
                <c:pt idx="9">
                  <c:v>퍼즐</c:v>
                </c:pt>
                <c:pt idx="10">
                  <c:v>디플로메시</c:v>
                </c:pt>
                <c:pt idx="11">
                  <c:v>기타</c:v>
                </c:pt>
                <c:pt idx="12">
                  <c:v>호환요청</c:v>
                </c:pt>
                <c:pt idx="13">
                  <c:v>미니게임</c:v>
                </c:pt>
                <c:pt idx="14">
                  <c:v>밀리기반</c:v>
                </c:pt>
                <c:pt idx="15">
                  <c:v>병맛</c:v>
                </c:pt>
                <c:pt idx="16">
                  <c:v>어드벤처</c:v>
                </c:pt>
                <c:pt idx="17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'2025.10'!$B$2:$B$27</c15:sqref>
                  </c15:fullRef>
                </c:ext>
              </c:extLst>
              <c:f>'2025.10'!$B$2:$B$18</c:f>
              <c:numCache>
                <c:formatCode>General</c:formatCode>
                <c:ptCount val="17"/>
                <c:pt idx="0">
                  <c:v>44</c:v>
                </c:pt>
                <c:pt idx="1">
                  <c:v>15</c:v>
                </c:pt>
                <c:pt idx="2">
                  <c:v>13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'2025.10'!$B$19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'2025.10'!$B$20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'2025.10'!$B$21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'2025.10'!$B$23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'2025.10'!$B$24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A-4534-498E-9C42-7EE0C856F2AE}"/>
            </c:ext>
          </c:extLst>
        </c:ser>
        <c:ser>
          <c:idx val="0"/>
          <c:order val="1"/>
          <c:tx>
            <c:strRef>
              <c:f>'2025.10'!$B$1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C-4534-498E-9C42-7EE0C856F2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E-4534-498E-9C42-7EE0C856F2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0-4534-498E-9C42-7EE0C856F2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2-4534-498E-9C42-7EE0C856F2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4534-498E-9C42-7EE0C856F2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4534-498E-9C42-7EE0C856F2A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4534-498E-9C42-7EE0C856F2A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4534-498E-9C42-7EE0C856F2AE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4534-498E-9C42-7EE0C856F2A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4534-498E-9C42-7EE0C856F2A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4534-498E-9C42-7EE0C856F2A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4534-498E-9C42-7EE0C856F2AE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4534-498E-9C42-7EE0C856F2AE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7-4534-498E-9C42-7EE0C856F2AE}"/>
              </c:ext>
            </c:extLst>
          </c:dPt>
          <c:dPt>
            <c:idx val="14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9-4534-498E-9C42-7EE0C856F2AE}"/>
              </c:ext>
            </c:extLst>
          </c:dPt>
          <c:dPt>
            <c:idx val="15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B-4534-498E-9C42-7EE0C856F2A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D-4534-498E-9C42-7EE0C856F2AE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534-498E-9C42-7EE0C856F2AE}"/>
                </c:ext>
              </c:extLst>
            </c:dLbl>
            <c:dLbl>
              <c:idx val="6"/>
              <c:layout>
                <c:manualLayout>
                  <c:x val="-3.0331922795364865E-3"/>
                  <c:y val="4.261736763996383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534-498E-9C42-7EE0C856F2AE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534-498E-9C42-7EE0C856F2AE}"/>
                </c:ext>
              </c:extLst>
            </c:dLbl>
            <c:dLbl>
              <c:idx val="8"/>
              <c:layout>
                <c:manualLayout>
                  <c:x val="-1.5299278066432172E-3"/>
                  <c:y val="-2.15716877261229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534-498E-9C42-7EE0C856F2AE}"/>
                </c:ext>
              </c:extLst>
            </c:dLbl>
            <c:dLbl>
              <c:idx val="9"/>
              <c:layout>
                <c:manualLayout>
                  <c:x val="-1.5117157974300832E-3"/>
                  <c:y val="-1.363326370349648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534-498E-9C42-7EE0C856F2AE}"/>
                </c:ext>
              </c:extLst>
            </c:dLbl>
            <c:dLbl>
              <c:idx val="10"/>
              <c:layout>
                <c:manualLayout>
                  <c:x val="-0.10426660953095149"/>
                  <c:y val="-6.936271791886404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534-498E-9C42-7EE0C856F2AE}"/>
                </c:ext>
              </c:extLst>
            </c:dLbl>
            <c:dLbl>
              <c:idx val="11"/>
              <c:layout>
                <c:manualLayout>
                  <c:x val="-5.5428938919270718E-17"/>
                  <c:y val="-5.453305481398617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4534-498E-9C42-7EE0C856F2AE}"/>
                </c:ext>
              </c:extLst>
            </c:dLbl>
            <c:dLbl>
              <c:idx val="12"/>
              <c:layout>
                <c:manualLayout>
                  <c:x val="-8.6539182602174705E-2"/>
                  <c:y val="-6.911742652073420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4534-498E-9C42-7EE0C856F2AE}"/>
                </c:ext>
              </c:extLst>
            </c:dLbl>
            <c:dLbl>
              <c:idx val="13"/>
              <c:layout>
                <c:manualLayout>
                  <c:x val="-6.964962712994209E-2"/>
                  <c:y val="-7.492895405708215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4534-498E-9C42-7EE0C856F2AE}"/>
                </c:ext>
              </c:extLst>
            </c:dLbl>
            <c:dLbl>
              <c:idx val="14"/>
              <c:layout>
                <c:manualLayout>
                  <c:x val="-2.2595865992941357E-2"/>
                  <c:y val="-9.727419531271218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4534-498E-9C42-7EE0C856F2AE}"/>
                </c:ext>
              </c:extLst>
            </c:dLbl>
            <c:dLbl>
              <c:idx val="15"/>
              <c:layout>
                <c:manualLayout>
                  <c:x val="-7.6384499556603046E-3"/>
                  <c:y val="-6.560154736469549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4534-498E-9C42-7EE0C856F2AE}"/>
                </c:ext>
              </c:extLst>
            </c:dLbl>
            <c:dLbl>
              <c:idx val="16"/>
              <c:layout>
                <c:manualLayout>
                  <c:x val="-1.1085787783854144E-16"/>
                  <c:y val="-8.452623496167820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4534-498E-9C42-7EE0C856F2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'2025.10'!$A$2:$A$28</c15:sqref>
                  </c15:fullRef>
                </c:ext>
              </c:extLst>
              <c:f>'2025.10'!$A$2:$A$18</c:f>
              <c:strCache>
                <c:ptCount val="17"/>
                <c:pt idx="0">
                  <c:v>맞히기</c:v>
                </c:pt>
                <c:pt idx="1">
                  <c:v>디펜스</c:v>
                </c:pt>
                <c:pt idx="2">
                  <c:v>컴까기</c:v>
                </c:pt>
                <c:pt idx="3">
                  <c:v>RPG</c:v>
                </c:pt>
                <c:pt idx="4">
                  <c:v>대전</c:v>
                </c:pt>
                <c:pt idx="5">
                  <c:v>서바이벌</c:v>
                </c:pt>
                <c:pt idx="6">
                  <c:v>캠페인</c:v>
                </c:pt>
                <c:pt idx="7">
                  <c:v>컨트롤</c:v>
                </c:pt>
                <c:pt idx="8">
                  <c:v>키우기</c:v>
                </c:pt>
                <c:pt idx="9">
                  <c:v>퍼즐</c:v>
                </c:pt>
                <c:pt idx="10">
                  <c:v>디플로메시</c:v>
                </c:pt>
                <c:pt idx="11">
                  <c:v>기타</c:v>
                </c:pt>
                <c:pt idx="12">
                  <c:v>호환요청</c:v>
                </c:pt>
                <c:pt idx="13">
                  <c:v>미니게임</c:v>
                </c:pt>
                <c:pt idx="14">
                  <c:v>밀리기반</c:v>
                </c:pt>
                <c:pt idx="15">
                  <c:v>병맛</c:v>
                </c:pt>
                <c:pt idx="16">
                  <c:v>어드벤처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'2025.10'!$B$2:$B$28</c15:sqref>
                  </c15:fullRef>
                </c:ext>
              </c:extLst>
              <c:f>'2025.10'!$B$2:$B$18</c:f>
              <c:numCache>
                <c:formatCode>General</c:formatCode>
                <c:ptCount val="17"/>
                <c:pt idx="0">
                  <c:v>44</c:v>
                </c:pt>
                <c:pt idx="1">
                  <c:v>15</c:v>
                </c:pt>
                <c:pt idx="2">
                  <c:v>13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'2025.10'!$B$19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4.5351473922902496E-3"/>
                        <c:y val="-0.11042943599832149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F-22F9-47AF-B73E-31D51D5C8DAC}"/>
                      </c:ext>
                    </c:extLst>
                  </c15:dLbl>
                </c15:categoryFilterException>
                <c15:categoryFilterException>
                  <c15:sqref>'2025.10'!$B$20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'2025.10'!$B$21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4.8374905517762662E-2"/>
                        <c:y val="-8.8616214072727156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22F9-47AF-B73E-31D51D5C8DAC}"/>
                      </c:ext>
                    </c:extLst>
                  </c15:dLbl>
                </c15:categoryFilterException>
                <c15:categoryFilterException>
                  <c15:sqref>'2025.10'!$B$23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1.5117157974301385E-3"/>
                        <c:y val="-0.1063394568872725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22F9-47AF-B73E-31D51D5C8DAC}"/>
                      </c:ext>
                    </c:extLst>
                  </c15:dLbl>
                </c15:categoryFilterException>
                <c15:categoryFilterException>
                  <c15:sqref>'2025.10'!$B$24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9.0702947845804991E-3"/>
                        <c:y val="-7.498295036923065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22F9-47AF-B73E-31D51D5C8DAC}"/>
                      </c:ext>
                    </c:extLst>
                  </c15:dLbl>
                </c15:categoryFilterException>
                <c15:categoryFilterException>
                  <c15:sqref>'2025.10'!$B$28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5-4534-498E-9C42-7EE0C856F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'2025.10'!$B$1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98-440F-90E5-4C892C9D5C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98-440F-90E5-4C892C9D5C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98-440F-90E5-4C892C9D5C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298-440F-90E5-4C892C9D5C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298-440F-90E5-4C892C9D5C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298-440F-90E5-4C892C9D5C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298-440F-90E5-4C892C9D5C8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298-440F-90E5-4C892C9D5C8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298-440F-90E5-4C892C9D5C8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298-440F-90E5-4C892C9D5C8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298-440F-90E5-4C892C9D5C8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298-440F-90E5-4C892C9D5C85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3298-440F-90E5-4C892C9D5C85}"/>
              </c:ext>
            </c:extLst>
          </c:dPt>
          <c:dPt>
            <c:idx val="13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3298-440F-90E5-4C892C9D5C8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3298-440F-90E5-4C892C9D5C85}"/>
              </c:ext>
            </c:extLst>
          </c:dPt>
          <c:dPt>
            <c:idx val="15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3298-440F-90E5-4C892C9D5C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'2025.10'!$A$2:$A$27</c15:sqref>
                  </c15:fullRef>
                </c:ext>
              </c:extLst>
              <c:f>'2025.10'!$A$3:$A$18</c:f>
              <c:strCache>
                <c:ptCount val="16"/>
                <c:pt idx="0">
                  <c:v>디펜스</c:v>
                </c:pt>
                <c:pt idx="1">
                  <c:v>컴까기</c:v>
                </c:pt>
                <c:pt idx="2">
                  <c:v>RPG</c:v>
                </c:pt>
                <c:pt idx="3">
                  <c:v>대전</c:v>
                </c:pt>
                <c:pt idx="4">
                  <c:v>서바이벌</c:v>
                </c:pt>
                <c:pt idx="5">
                  <c:v>캠페인</c:v>
                </c:pt>
                <c:pt idx="6">
                  <c:v>컨트롤</c:v>
                </c:pt>
                <c:pt idx="7">
                  <c:v>키우기</c:v>
                </c:pt>
                <c:pt idx="8">
                  <c:v>퍼즐</c:v>
                </c:pt>
                <c:pt idx="9">
                  <c:v>디플로메시</c:v>
                </c:pt>
                <c:pt idx="10">
                  <c:v>기타</c:v>
                </c:pt>
                <c:pt idx="11">
                  <c:v>호환요청</c:v>
                </c:pt>
                <c:pt idx="12">
                  <c:v>미니게임</c:v>
                </c:pt>
                <c:pt idx="13">
                  <c:v>밀리기반</c:v>
                </c:pt>
                <c:pt idx="14">
                  <c:v>병맛</c:v>
                </c:pt>
                <c:pt idx="15">
                  <c:v>어드벤처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'2025.10'!$B$2:$B$27</c15:sqref>
                  </c15:fullRef>
                </c:ext>
              </c:extLst>
              <c:f>'2025.10'!$B$3:$B$18</c:f>
              <c:numCache>
                <c:formatCode>General</c:formatCode>
                <c:ptCount val="16"/>
                <c:pt idx="0">
                  <c:v>15</c:v>
                </c:pt>
                <c:pt idx="1">
                  <c:v>13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'2025.10'!$B$2</c15:sqref>
                  <c15:bubble3D val="0"/>
                </c15:categoryFilterException>
                <c15:categoryFilterException>
                  <c15:sqref>'2025.10'!$B$19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'2025.10'!$B$20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'2025.10'!$B$21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'2025.10'!$B$22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'2025.10'!$B$23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'2025.10'!$B$24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'2025.10'!$B$25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'2025.10'!$B$26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'2025.10'!$B$27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8-3298-440F-90E5-4C892C9D5C85}"/>
            </c:ext>
          </c:extLst>
        </c:ser>
        <c:ser>
          <c:idx val="0"/>
          <c:order val="1"/>
          <c:tx>
            <c:strRef>
              <c:f>'2025.10'!$B$1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3298-440F-90E5-4C892C9D5C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3298-440F-90E5-4C892C9D5C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3298-440F-90E5-4C892C9D5C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3298-440F-90E5-4C892C9D5C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3298-440F-90E5-4C892C9D5C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3298-440F-90E5-4C892C9D5C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3298-440F-90E5-4C892C9D5C8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3298-440F-90E5-4C892C9D5C8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3298-440F-90E5-4C892C9D5C8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3298-440F-90E5-4C892C9D5C8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3298-440F-90E5-4C892C9D5C8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3298-440F-90E5-4C892C9D5C85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E-3298-440F-90E5-4C892C9D5C85}"/>
              </c:ext>
            </c:extLst>
          </c:dPt>
          <c:dPt>
            <c:idx val="13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0-3298-440F-90E5-4C892C9D5C8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2-3298-440F-90E5-4C892C9D5C85}"/>
              </c:ext>
            </c:extLst>
          </c:dPt>
          <c:dPt>
            <c:idx val="15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4-3298-440F-90E5-4C892C9D5C85}"/>
              </c:ext>
            </c:extLst>
          </c:dPt>
          <c:dLbls>
            <c:dLbl>
              <c:idx val="4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2-3298-440F-90E5-4C892C9D5C85}"/>
                </c:ext>
              </c:extLst>
            </c:dLbl>
            <c:dLbl>
              <c:idx val="6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3298-440F-90E5-4C892C9D5C85}"/>
                </c:ext>
              </c:extLst>
            </c:dLbl>
            <c:dLbl>
              <c:idx val="7"/>
              <c:layout>
                <c:manualLayout>
                  <c:x val="-1.0581869745679823E-3"/>
                  <c:y val="-6.1864903949455466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3298-440F-90E5-4C892C9D5C85}"/>
                </c:ext>
              </c:extLst>
            </c:dLbl>
            <c:dLbl>
              <c:idx val="8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3298-440F-90E5-4C892C9D5C85}"/>
                </c:ext>
              </c:extLst>
            </c:dLbl>
            <c:dLbl>
              <c:idx val="9"/>
              <c:layout>
                <c:manualLayout>
                  <c:x val="-1.6494883092620057E-3"/>
                  <c:y val="-1.014886204790288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3298-440F-90E5-4C892C9D5C85}"/>
                </c:ext>
              </c:extLst>
            </c:dLbl>
            <c:dLbl>
              <c:idx val="10"/>
              <c:layout>
                <c:manualLayout>
                  <c:x val="-1.4233535745508193E-3"/>
                  <c:y val="-4.278938893167552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3298-440F-90E5-4C892C9D5C85}"/>
                </c:ext>
              </c:extLst>
            </c:dLbl>
            <c:dLbl>
              <c:idx val="11"/>
              <c:layout>
                <c:manualLayout>
                  <c:x val="-3.4622499372277621E-3"/>
                  <c:y val="-1.632428717547582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3298-440F-90E5-4C892C9D5C85}"/>
                </c:ext>
              </c:extLst>
            </c:dLbl>
            <c:dLbl>
              <c:idx val="12"/>
              <c:layout>
                <c:manualLayout>
                  <c:x val="-1.5117157974300554E-3"/>
                  <c:y val="-4.08997911104894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3298-440F-90E5-4C892C9D5C85}"/>
                </c:ext>
              </c:extLst>
            </c:dLbl>
            <c:dLbl>
              <c:idx val="13"/>
              <c:layout>
                <c:manualLayout>
                  <c:x val="-3.588685753167104E-5"/>
                  <c:y val="-1.709382622460343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3298-440F-90E5-4C892C9D5C85}"/>
                </c:ext>
              </c:extLst>
            </c:dLbl>
            <c:dLbl>
              <c:idx val="15"/>
              <c:layout>
                <c:manualLayout>
                  <c:x val="-9.9817749426393335E-6"/>
                  <c:y val="-8.178409530776331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3298-440F-90E5-4C892C9D5C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'2025.10'!$A$2:$A$27</c15:sqref>
                  </c15:fullRef>
                </c:ext>
              </c:extLst>
              <c:f>'2025.10'!$A$3:$A$18</c:f>
              <c:strCache>
                <c:ptCount val="16"/>
                <c:pt idx="0">
                  <c:v>디펜스</c:v>
                </c:pt>
                <c:pt idx="1">
                  <c:v>컴까기</c:v>
                </c:pt>
                <c:pt idx="2">
                  <c:v>RPG</c:v>
                </c:pt>
                <c:pt idx="3">
                  <c:v>대전</c:v>
                </c:pt>
                <c:pt idx="4">
                  <c:v>서바이벌</c:v>
                </c:pt>
                <c:pt idx="5">
                  <c:v>캠페인</c:v>
                </c:pt>
                <c:pt idx="6">
                  <c:v>컨트롤</c:v>
                </c:pt>
                <c:pt idx="7">
                  <c:v>키우기</c:v>
                </c:pt>
                <c:pt idx="8">
                  <c:v>퍼즐</c:v>
                </c:pt>
                <c:pt idx="9">
                  <c:v>디플로메시</c:v>
                </c:pt>
                <c:pt idx="10">
                  <c:v>기타</c:v>
                </c:pt>
                <c:pt idx="11">
                  <c:v>호환요청</c:v>
                </c:pt>
                <c:pt idx="12">
                  <c:v>미니게임</c:v>
                </c:pt>
                <c:pt idx="13">
                  <c:v>밀리기반</c:v>
                </c:pt>
                <c:pt idx="14">
                  <c:v>병맛</c:v>
                </c:pt>
                <c:pt idx="15">
                  <c:v>어드벤처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'2025.10'!$B$2:$B$27</c15:sqref>
                  </c15:fullRef>
                </c:ext>
              </c:extLst>
              <c:f>'2025.10'!$B$3:$B$18</c:f>
              <c:numCache>
                <c:formatCode>General</c:formatCode>
                <c:ptCount val="16"/>
                <c:pt idx="0">
                  <c:v>15</c:v>
                </c:pt>
                <c:pt idx="1">
                  <c:v>13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'2025.10'!$B$2</c15:sqref>
                  <c15:bubble3D val="0"/>
                </c15:categoryFilterException>
                <c15:categoryFilterException>
                  <c15:sqref>'2025.10'!$B$19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5.5981358797633468E-2"/>
                        <c:y val="-9.322316753136704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4-AF7B-4D51-A30F-36A13DD66FEC}"/>
                      </c:ext>
                    </c:extLst>
                  </c15:dLbl>
                </c15:categoryFilterException>
                <c15:categoryFilterException>
                  <c15:sqref>'2025.10'!$B$20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'2025.10'!$B$21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4.514721157334519E-2"/>
                        <c:y val="-0.1060612919242862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8-AF7B-4D51-A30F-36A13DD66FEC}"/>
                      </c:ext>
                    </c:extLst>
                  </c15:dLbl>
                </c15:categoryFilterException>
                <c15:categoryFilterException>
                  <c15:sqref>'2025.10'!$B$22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3.0234315948601664E-3"/>
                        <c:y val="-8.861621407272712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A-AF7B-4D51-A30F-36A13DD66FEC}"/>
                      </c:ext>
                    </c:extLst>
                  </c15:dLbl>
                </c15:categoryFilterException>
                <c15:categoryFilterException>
                  <c15:sqref>'2025.10'!$B$23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8.8741544159194104E-3"/>
                        <c:y val="-2.9437634945965281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C-AF7B-4D51-A30F-36A13DD66FEC}"/>
                      </c:ext>
                    </c:extLst>
                  </c15:dLbl>
                </c15:categoryFilterException>
                <c15:categoryFilterException>
                  <c15:sqref>'2025.10'!$B$24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'2025.10'!$B$25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8.1501786559468742E-2"/>
                        <c:y val="-5.3913905781863745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0-AF7B-4D51-A30F-36A13DD66FEC}"/>
                      </c:ext>
                    </c:extLst>
                  </c15:dLbl>
                </c15:categoryFilterException>
                <c15:categoryFilterException>
                  <c15:sqref>'2025.10'!$B$26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7.5457465339771896E-3"/>
                        <c:y val="-9.798787166221241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2-AF7B-4D51-A30F-36A13DD66FEC}"/>
                      </c:ext>
                    </c:extLst>
                  </c15:dLbl>
                </c15:categoryFilterException>
                <c15:categoryFilterException>
                  <c15:sqref>'2025.10'!$B$27</c15:sqref>
                  <c15:bubble3D val="0"/>
                  <c15:dLbl>
                    <c:idx val="15"/>
                    <c:layout>
                      <c:manualLayout>
                        <c:x val="-4.5274479203863691E-3"/>
                        <c:y val="-8.8149943627492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AF7B-4D51-A30F-36A13DD66FE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1-3298-440F-90E5-4C892C9D5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'2025.11'!$B$1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2B-4497-AFDB-80A0999F64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2B-4497-AFDB-80A0999F64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02B-4497-AFDB-80A0999F64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02B-4497-AFDB-80A0999F64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02B-4497-AFDB-80A0999F64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02B-4497-AFDB-80A0999F64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02B-4497-AFDB-80A0999F644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02B-4497-AFDB-80A0999F6449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02B-4497-AFDB-80A0999F6449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02B-4497-AFDB-80A0999F644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02B-4497-AFDB-80A0999F644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02B-4497-AFDB-80A0999F6449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02B-4497-AFDB-80A0999F6449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02B-4497-AFDB-80A0999F6449}"/>
              </c:ext>
            </c:extLst>
          </c:dPt>
          <c:dPt>
            <c:idx val="1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02B-4497-AFDB-80A0999F64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'2025.11'!$A$2:$A$28</c15:sqref>
                  </c15:fullRef>
                </c:ext>
              </c:extLst>
              <c:f>'2025.11'!$A$2:$A$16</c:f>
              <c:strCache>
                <c:ptCount val="15"/>
                <c:pt idx="0">
                  <c:v>맞히기</c:v>
                </c:pt>
                <c:pt idx="1">
                  <c:v>컴까기</c:v>
                </c:pt>
                <c:pt idx="2">
                  <c:v>디펜스</c:v>
                </c:pt>
                <c:pt idx="3">
                  <c:v>서바이벌</c:v>
                </c:pt>
                <c:pt idx="4">
                  <c:v>컨트롤</c:v>
                </c:pt>
                <c:pt idx="5">
                  <c:v>대전</c:v>
                </c:pt>
                <c:pt idx="6">
                  <c:v>오펜스</c:v>
                </c:pt>
                <c:pt idx="7">
                  <c:v>캠페인</c:v>
                </c:pt>
                <c:pt idx="8">
                  <c:v>기타</c:v>
                </c:pt>
                <c:pt idx="9">
                  <c:v>탈출</c:v>
                </c:pt>
                <c:pt idx="10">
                  <c:v>RPG</c:v>
                </c:pt>
                <c:pt idx="11">
                  <c:v>퍼즐</c:v>
                </c:pt>
                <c:pt idx="12">
                  <c:v>호환요청</c:v>
                </c:pt>
                <c:pt idx="13">
                  <c:v>밀리기반</c:v>
                </c:pt>
                <c:pt idx="14">
                  <c:v>블러드</c:v>
                </c:pt>
                <c:pt idx="15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'2025.11'!$B$2:$B$27</c15:sqref>
                  </c15:fullRef>
                </c:ext>
              </c:extLst>
              <c:f>'2025.11'!$B$2:$B$16</c:f>
              <c:numCache>
                <c:formatCode>General</c:formatCode>
                <c:ptCount val="15"/>
                <c:pt idx="0">
                  <c:v>44</c:v>
                </c:pt>
                <c:pt idx="1">
                  <c:v>10</c:v>
                </c:pt>
                <c:pt idx="2">
                  <c:v>8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'2025.11'!$B$17</c15:sqref>
                  <c15:spPr xmlns:c15="http://schemas.microsoft.com/office/drawing/2012/chart"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'2025.11'!$B$22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'2025.11'!$B$25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2-C02B-4497-AFDB-80A0999F6449}"/>
            </c:ext>
          </c:extLst>
        </c:ser>
        <c:ser>
          <c:idx val="0"/>
          <c:order val="1"/>
          <c:tx>
            <c:strRef>
              <c:f>'2025.11'!$B$1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C02B-4497-AFDB-80A0999F64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C02B-4497-AFDB-80A0999F64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C02B-4497-AFDB-80A0999F64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C02B-4497-AFDB-80A0999F64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C02B-4497-AFDB-80A0999F64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C02B-4497-AFDB-80A0999F64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C02B-4497-AFDB-80A0999F644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C02B-4497-AFDB-80A0999F6449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C02B-4497-AFDB-80A0999F6449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C02B-4497-AFDB-80A0999F644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C02B-4497-AFDB-80A0999F644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C02B-4497-AFDB-80A0999F6449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C02B-4497-AFDB-80A0999F6449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C02B-4497-AFDB-80A0999F6449}"/>
              </c:ext>
            </c:extLst>
          </c:dPt>
          <c:dPt>
            <c:idx val="14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C02B-4497-AFDB-80A0999F6449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02B-4497-AFDB-80A0999F6449}"/>
                </c:ext>
              </c:extLst>
            </c:dLbl>
            <c:dLbl>
              <c:idx val="6"/>
              <c:layout>
                <c:manualLayout>
                  <c:x val="-4.5351473922902773E-3"/>
                  <c:y val="1.363326370349648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02B-4497-AFDB-80A0999F6449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02B-4497-AFDB-80A0999F6449}"/>
                </c:ext>
              </c:extLst>
            </c:dLbl>
            <c:dLbl>
              <c:idx val="8"/>
              <c:layout>
                <c:manualLayout>
                  <c:x val="-1.5299278066432172E-3"/>
                  <c:y val="-2.15716877261229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02B-4497-AFDB-80A0999F6449}"/>
                </c:ext>
              </c:extLst>
            </c:dLbl>
            <c:dLbl>
              <c:idx val="9"/>
              <c:layout>
                <c:manualLayout>
                  <c:x val="-3.02343159486016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02B-4497-AFDB-80A0999F6449}"/>
                </c:ext>
              </c:extLst>
            </c:dLbl>
            <c:dLbl>
              <c:idx val="10"/>
              <c:layout>
                <c:manualLayout>
                  <c:x val="-5.5891704013188881E-2"/>
                  <c:y val="-5.98194333264165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02B-4497-AFDB-80A0999F6449}"/>
                </c:ext>
              </c:extLst>
            </c:dLbl>
            <c:dLbl>
              <c:idx val="11"/>
              <c:layout>
                <c:manualLayout>
                  <c:x val="-6.953892668178388E-2"/>
                  <c:y val="-7.770960310992994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02B-4497-AFDB-80A0999F6449}"/>
                </c:ext>
              </c:extLst>
            </c:dLbl>
            <c:dLbl>
              <c:idx val="12"/>
              <c:layout>
                <c:manualLayout>
                  <c:x val="-6.3863445640723479E-2"/>
                  <c:y val="-9.365730118702787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02B-4497-AFDB-80A0999F6449}"/>
                </c:ext>
              </c:extLst>
            </c:dLbl>
            <c:dLbl>
              <c:idx val="13"/>
              <c:layout>
                <c:manualLayout>
                  <c:x val="-1.9763005814749348E-2"/>
                  <c:y val="-0.1199187242786205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02B-4497-AFDB-80A0999F6449}"/>
                </c:ext>
              </c:extLst>
            </c:dLbl>
            <c:dLbl>
              <c:idx val="14"/>
              <c:layout>
                <c:manualLayout>
                  <c:x val="-4.4552764237803608E-3"/>
                  <c:y val="-9.045756346096392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02B-4497-AFDB-80A0999F64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'2025.11'!$A$2:$A$28</c15:sqref>
                  </c15:fullRef>
                </c:ext>
              </c:extLst>
              <c:f>'2025.11'!$A$2:$A$16</c:f>
              <c:strCache>
                <c:ptCount val="15"/>
                <c:pt idx="0">
                  <c:v>맞히기</c:v>
                </c:pt>
                <c:pt idx="1">
                  <c:v>컴까기</c:v>
                </c:pt>
                <c:pt idx="2">
                  <c:v>디펜스</c:v>
                </c:pt>
                <c:pt idx="3">
                  <c:v>서바이벌</c:v>
                </c:pt>
                <c:pt idx="4">
                  <c:v>컨트롤</c:v>
                </c:pt>
                <c:pt idx="5">
                  <c:v>대전</c:v>
                </c:pt>
                <c:pt idx="6">
                  <c:v>오펜스</c:v>
                </c:pt>
                <c:pt idx="7">
                  <c:v>캠페인</c:v>
                </c:pt>
                <c:pt idx="8">
                  <c:v>기타</c:v>
                </c:pt>
                <c:pt idx="9">
                  <c:v>탈출</c:v>
                </c:pt>
                <c:pt idx="10">
                  <c:v>RPG</c:v>
                </c:pt>
                <c:pt idx="11">
                  <c:v>퍼즐</c:v>
                </c:pt>
                <c:pt idx="12">
                  <c:v>호환요청</c:v>
                </c:pt>
                <c:pt idx="13">
                  <c:v>밀리기반</c:v>
                </c:pt>
                <c:pt idx="14">
                  <c:v>블러드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'2025.11'!$B$2:$B$28</c15:sqref>
                  </c15:fullRef>
                </c:ext>
              </c:extLst>
              <c:f>'2025.11'!$B$2:$B$16</c:f>
              <c:numCache>
                <c:formatCode>General</c:formatCode>
                <c:ptCount val="15"/>
                <c:pt idx="0">
                  <c:v>44</c:v>
                </c:pt>
                <c:pt idx="1">
                  <c:v>10</c:v>
                </c:pt>
                <c:pt idx="2">
                  <c:v>8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'2025.11'!$B$17</c15:sqref>
                  <c15:spPr xmlns:c15="http://schemas.microsoft.com/office/drawing/2012/chart"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7.6384499556603046E-3"/>
                        <c:y val="-6.560154736469549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7-07AD-469C-A3D7-025ABE98B14F}"/>
                      </c:ext>
                    </c:extLst>
                  </c15:dLbl>
                </c15:categoryFilterException>
                <c15:categoryFilterException>
                  <c15:sqref>'2025.11'!$B$18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1.1085787783854144E-16"/>
                        <c:y val="-8.4526234961678201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07AD-469C-A3D7-025ABE98B14F}"/>
                      </c:ext>
                    </c:extLst>
                  </c15:dLbl>
                </c15:categoryFilterException>
                <c15:categoryFilterException>
                  <c15:sqref>'2025.11'!$B$22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4.5351473922902496E-3"/>
                        <c:y val="-0.11042943599832149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B-07AD-469C-A3D7-025ABE98B14F}"/>
                      </c:ext>
                    </c:extLst>
                  </c15:dLbl>
                </c15:categoryFilterException>
                <c15:categoryFilterException>
                  <c15:sqref>'2025.11'!$B$23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'2025.11'!$B$25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9.0702947845804991E-3"/>
                        <c:y val="-7.498295036923065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F-07AD-469C-A3D7-025ABE98B14F}"/>
                      </c:ext>
                    </c:extLst>
                  </c15:dLbl>
                </c15:categoryFilterException>
                <c15:categoryFilterException>
                  <c15:sqref>'2025.11'!$B$28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5-C02B-4497-AFDB-80A0999F6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'2025.11'!$B$1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84-4163-8B99-7076CF99B4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84-4163-8B99-7076CF99B4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D84-4163-8B99-7076CF99B4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D84-4163-8B99-7076CF99B4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D84-4163-8B99-7076CF99B49E}"/>
              </c:ext>
            </c:extLst>
          </c:dPt>
          <c:dPt>
            <c:idx val="5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D84-4163-8B99-7076CF99B4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D84-4163-8B99-7076CF99B49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D84-4163-8B99-7076CF99B49E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D84-4163-8B99-7076CF99B49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D84-4163-8B99-7076CF99B49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D84-4163-8B99-7076CF99B49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D84-4163-8B99-7076CF99B49E}"/>
              </c:ext>
            </c:extLst>
          </c:dPt>
          <c:dPt>
            <c:idx val="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D84-4163-8B99-7076CF99B49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D84-4163-8B99-7076CF99B4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'2025.11'!$A$2:$A$27</c15:sqref>
                  </c15:fullRef>
                </c:ext>
              </c:extLst>
              <c:f>'2025.11'!$A$3:$A$16</c:f>
              <c:strCache>
                <c:ptCount val="14"/>
                <c:pt idx="0">
                  <c:v>컴까기</c:v>
                </c:pt>
                <c:pt idx="1">
                  <c:v>디펜스</c:v>
                </c:pt>
                <c:pt idx="2">
                  <c:v>서바이벌</c:v>
                </c:pt>
                <c:pt idx="3">
                  <c:v>컨트롤</c:v>
                </c:pt>
                <c:pt idx="4">
                  <c:v>대전</c:v>
                </c:pt>
                <c:pt idx="5">
                  <c:v>오펜스</c:v>
                </c:pt>
                <c:pt idx="6">
                  <c:v>캠페인</c:v>
                </c:pt>
                <c:pt idx="7">
                  <c:v>기타</c:v>
                </c:pt>
                <c:pt idx="8">
                  <c:v>탈출</c:v>
                </c:pt>
                <c:pt idx="9">
                  <c:v>RPG</c:v>
                </c:pt>
                <c:pt idx="10">
                  <c:v>퍼즐</c:v>
                </c:pt>
                <c:pt idx="11">
                  <c:v>호환요청</c:v>
                </c:pt>
                <c:pt idx="12">
                  <c:v>밀리기반</c:v>
                </c:pt>
                <c:pt idx="13">
                  <c:v>블러드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'2025.11'!$B$2:$B$27</c15:sqref>
                  </c15:fullRef>
                </c:ext>
              </c:extLst>
              <c:f>'2025.11'!$B$3:$B$16</c:f>
              <c:numCache>
                <c:formatCode>General</c:formatCode>
                <c:ptCount val="14"/>
                <c:pt idx="0">
                  <c:v>10</c:v>
                </c:pt>
                <c:pt idx="1">
                  <c:v>8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'2025.11'!$B$2</c15:sqref>
                  <c15:bubble3D val="0"/>
                </c15:categoryFilterException>
                <c15:categoryFilterException>
                  <c15:sqref>'2025.11'!$B$17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'2025.11'!$B$18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'2025.11'!$B$21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'2025.11'!$B$22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'2025.11'!$B$24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'2025.11'!$B$25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'2025.11'!$B$26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'2025.11'!$B$27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0-CD84-4163-8B99-7076CF99B49E}"/>
            </c:ext>
          </c:extLst>
        </c:ser>
        <c:ser>
          <c:idx val="0"/>
          <c:order val="1"/>
          <c:tx>
            <c:strRef>
              <c:f>'2025.11'!$B$1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CD84-4163-8B99-7076CF99B4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CD84-4163-8B99-7076CF99B4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CD84-4163-8B99-7076CF99B4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CD84-4163-8B99-7076CF99B4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CD84-4163-8B99-7076CF99B49E}"/>
              </c:ext>
            </c:extLst>
          </c:dPt>
          <c:dPt>
            <c:idx val="5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CD84-4163-8B99-7076CF99B4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CD84-4163-8B99-7076CF99B49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CD84-4163-8B99-7076CF99B49E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CD84-4163-8B99-7076CF99B49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CD84-4163-8B99-7076CF99B49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CD84-4163-8B99-7076CF99B49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CD84-4163-8B99-7076CF99B49E}"/>
              </c:ext>
            </c:extLst>
          </c:dPt>
          <c:dPt>
            <c:idx val="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CD84-4163-8B99-7076CF99B49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CD84-4163-8B99-7076CF99B49E}"/>
              </c:ext>
            </c:extLst>
          </c:dPt>
          <c:dLbls>
            <c:dLbl>
              <c:idx val="2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6-CD84-4163-8B99-7076CF99B49E}"/>
                </c:ext>
              </c:extLst>
            </c:dLbl>
            <c:dLbl>
              <c:idx val="3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D84-4163-8B99-7076CF99B49E}"/>
                </c:ext>
              </c:extLst>
            </c:dLbl>
            <c:dLbl>
              <c:idx val="5"/>
              <c:layout>
                <c:manualLayout>
                  <c:x val="1.2726763051794599E-4"/>
                  <c:y val="-2.5809233180994779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D84-4163-8B99-7076CF99B49E}"/>
                </c:ext>
              </c:extLst>
            </c:dLbl>
            <c:dLbl>
              <c:idx val="7"/>
              <c:layout>
                <c:manualLayout>
                  <c:x val="-1.4233535745508193E-3"/>
                  <c:y val="-4.278938893167552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D84-4163-8B99-7076CF99B49E}"/>
                </c:ext>
              </c:extLst>
            </c:dLbl>
            <c:dLbl>
              <c:idx val="8"/>
              <c:layout>
                <c:manualLayout>
                  <c:x val="-8.8741544159194104E-3"/>
                  <c:y val="-2.943763494596528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D84-4163-8B99-7076CF99B49E}"/>
                </c:ext>
              </c:extLst>
            </c:dLbl>
            <c:dLbl>
              <c:idx val="10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D84-4163-8B99-7076CF99B49E}"/>
                </c:ext>
              </c:extLst>
            </c:dLbl>
            <c:dLbl>
              <c:idx val="11"/>
              <c:layout>
                <c:manualLayout>
                  <c:x val="-6.2319072902249785E-2"/>
                  <c:y val="-7.061934112167207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D84-4163-8B99-7076CF99B49E}"/>
                </c:ext>
              </c:extLst>
            </c:dLbl>
            <c:dLbl>
              <c:idx val="12"/>
              <c:layout>
                <c:manualLayout>
                  <c:x val="-1.8145678539076927E-2"/>
                  <c:y val="-7.069629502658483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D84-4163-8B99-7076CF99B49E}"/>
                </c:ext>
              </c:extLst>
            </c:dLbl>
            <c:dLbl>
              <c:idx val="13"/>
              <c:layout>
                <c:manualLayout>
                  <c:x val="-7.7239925150947611E-6"/>
                  <c:y val="-2.8124891862159529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D84-4163-8B99-7076CF99B4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'2025.11'!$A$2:$A$27</c15:sqref>
                  </c15:fullRef>
                </c:ext>
              </c:extLst>
              <c:f>'2025.11'!$A$3:$A$16</c:f>
              <c:strCache>
                <c:ptCount val="14"/>
                <c:pt idx="0">
                  <c:v>컴까기</c:v>
                </c:pt>
                <c:pt idx="1">
                  <c:v>디펜스</c:v>
                </c:pt>
                <c:pt idx="2">
                  <c:v>서바이벌</c:v>
                </c:pt>
                <c:pt idx="3">
                  <c:v>컨트롤</c:v>
                </c:pt>
                <c:pt idx="4">
                  <c:v>대전</c:v>
                </c:pt>
                <c:pt idx="5">
                  <c:v>오펜스</c:v>
                </c:pt>
                <c:pt idx="6">
                  <c:v>캠페인</c:v>
                </c:pt>
                <c:pt idx="7">
                  <c:v>기타</c:v>
                </c:pt>
                <c:pt idx="8">
                  <c:v>탈출</c:v>
                </c:pt>
                <c:pt idx="9">
                  <c:v>RPG</c:v>
                </c:pt>
                <c:pt idx="10">
                  <c:v>퍼즐</c:v>
                </c:pt>
                <c:pt idx="11">
                  <c:v>호환요청</c:v>
                </c:pt>
                <c:pt idx="12">
                  <c:v>밀리기반</c:v>
                </c:pt>
                <c:pt idx="13">
                  <c:v>블러드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'2025.11'!$B$2:$B$27</c15:sqref>
                  </c15:fullRef>
                </c:ext>
              </c:extLst>
              <c:f>'2025.11'!$B$3:$B$16</c:f>
              <c:numCache>
                <c:formatCode>General</c:formatCode>
                <c:ptCount val="14"/>
                <c:pt idx="0">
                  <c:v>10</c:v>
                </c:pt>
                <c:pt idx="1">
                  <c:v>8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'2025.11'!$B$2</c15:sqref>
                  <c15:bubble3D val="0"/>
                </c15:categoryFilterException>
                <c15:categoryFilterException>
                  <c15:sqref>'2025.11'!$B$17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1.6494883092620057E-3"/>
                        <c:y val="-1.0148862047902885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0-41DD-45E6-B772-2ED30141F3B4}"/>
                      </c:ext>
                    </c:extLst>
                  </c15:dLbl>
                </c15:categoryFilterException>
                <c15:categoryFilterException>
                  <c15:sqref>'2025.11'!$B$18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1.5117157974300554E-3"/>
                        <c:y val="-4.089979111048944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2-41DD-45E6-B772-2ED30141F3B4}"/>
                      </c:ext>
                    </c:extLst>
                  </c15:dLbl>
                </c15:categoryFilterException>
                <c15:categoryFilterException>
                  <c15:sqref>'2025.11'!$B$19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1.0581869745679823E-3"/>
                        <c:y val="-6.1864903949455466E-5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4-41DD-45E6-B772-2ED30141F3B4}"/>
                      </c:ext>
                    </c:extLst>
                  </c15:dLbl>
                </c15:categoryFilterException>
                <c15:categoryFilterException>
                  <c15:sqref>'2025.11'!$B$20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'2025.11'!$B$21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9.9817749426393335E-6"/>
                        <c:y val="-8.1784095307763316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8-41DD-45E6-B772-2ED30141F3B4}"/>
                      </c:ext>
                    </c:extLst>
                  </c15:dLbl>
                </c15:categoryFilterException>
                <c15:categoryFilterException>
                  <c15:sqref>'2025.11'!$B$22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5.5981358797633468E-2"/>
                        <c:y val="-9.322316753136704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A-41DD-45E6-B772-2ED30141F3B4}"/>
                      </c:ext>
                    </c:extLst>
                  </c15:dLbl>
                </c15:categoryFilterException>
                <c15:categoryFilterException>
                  <c15:sqref>'2025.11'!$B$23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'2025.11'!$B$24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3.0234315948601664E-3"/>
                        <c:y val="-8.861621407272712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E-41DD-45E6-B772-2ED30141F3B4}"/>
                      </c:ext>
                    </c:extLst>
                  </c15:dLbl>
                </c15:categoryFilterException>
                <c15:categoryFilterException>
                  <c15:sqref>'2025.11'!$B$25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'2025.11'!$B$26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7.5457465339771896E-3"/>
                        <c:y val="-9.798787166221241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2-41DD-45E6-B772-2ED30141F3B4}"/>
                      </c:ext>
                    </c:extLst>
                  </c15:dLbl>
                </c15:categoryFilterException>
                <c15:categoryFilterException>
                  <c15:sqref>'2025.11'!$B$27</c15:sqref>
                  <c15:bubble3D val="0"/>
                  <c15:dLbl>
                    <c:idx val="13"/>
                    <c:layout>
                      <c:manualLayout>
                        <c:x val="-4.5274479203863691E-3"/>
                        <c:y val="-8.8149943627492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41DD-45E6-B772-2ED30141F3B4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1-CD84-4163-8B99-7076CF99B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'2025.12'!$B$1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475-497D-ABE9-C36D7B0529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475-497D-ABE9-C36D7B0529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475-497D-ABE9-C36D7B0529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475-497D-ABE9-C36D7B0529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475-497D-ABE9-C36D7B0529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475-497D-ABE9-C36D7B052977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475-497D-ABE9-C36D7B05297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475-497D-ABE9-C36D7B052977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475-497D-ABE9-C36D7B052977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475-497D-ABE9-C36D7B05297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475-497D-ABE9-C36D7B05297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475-497D-ABE9-C36D7B052977}"/>
              </c:ext>
            </c:extLst>
          </c:dPt>
          <c:dPt>
            <c:idx val="1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475-497D-ABE9-C36D7B052977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475-497D-ABE9-C36D7B052977}"/>
              </c:ext>
            </c:extLst>
          </c:dPt>
          <c:dPt>
            <c:idx val="1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475-497D-ABE9-C36D7B0529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'2025.12'!$A$2:$A$28</c15:sqref>
                  </c15:fullRef>
                </c:ext>
              </c:extLst>
              <c:f>'2025.12'!$A$2:$A$16</c:f>
              <c:strCache>
                <c:ptCount val="15"/>
                <c:pt idx="0">
                  <c:v>맞히기</c:v>
                </c:pt>
                <c:pt idx="1">
                  <c:v>디펜스</c:v>
                </c:pt>
                <c:pt idx="2">
                  <c:v>컴까기</c:v>
                </c:pt>
                <c:pt idx="3">
                  <c:v>서바이벌</c:v>
                </c:pt>
                <c:pt idx="4">
                  <c:v>캠페인</c:v>
                </c:pt>
                <c:pt idx="5">
                  <c:v>RPG</c:v>
                </c:pt>
                <c:pt idx="6">
                  <c:v>컨트롤</c:v>
                </c:pt>
                <c:pt idx="7">
                  <c:v>오펜스</c:v>
                </c:pt>
                <c:pt idx="8">
                  <c:v>대전</c:v>
                </c:pt>
                <c:pt idx="9">
                  <c:v>기타</c:v>
                </c:pt>
                <c:pt idx="10">
                  <c:v>밀리기반</c:v>
                </c:pt>
                <c:pt idx="11">
                  <c:v>키우기</c:v>
                </c:pt>
                <c:pt idx="12">
                  <c:v>공포</c:v>
                </c:pt>
                <c:pt idx="13">
                  <c:v>레이싱</c:v>
                </c:pt>
                <c:pt idx="14">
                  <c:v>영상</c:v>
                </c:pt>
                <c:pt idx="15">
                  <c:v>AOS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'2025.12'!$B$2:$B$27</c15:sqref>
                  </c15:fullRef>
                </c:ext>
              </c:extLst>
              <c:f>'2025.12'!$B$2:$B$16</c:f>
              <c:numCache>
                <c:formatCode>General</c:formatCode>
                <c:ptCount val="15"/>
                <c:pt idx="0">
                  <c:v>60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'2025.12'!$B$21</c15:sqref>
                  <c15:spPr xmlns:c15="http://schemas.microsoft.com/office/drawing/2012/chart"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'2025.12'!$B$22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'2025.12'!$B$25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'2025.12'!$B$27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E-A475-497D-ABE9-C36D7B052977}"/>
            </c:ext>
          </c:extLst>
        </c:ser>
        <c:ser>
          <c:idx val="0"/>
          <c:order val="1"/>
          <c:tx>
            <c:strRef>
              <c:f>'2025.12'!$B$1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0-A475-497D-ABE9-C36D7B0529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2-A475-497D-ABE9-C36D7B0529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A475-497D-ABE9-C36D7B0529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A475-497D-ABE9-C36D7B0529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A475-497D-ABE9-C36D7B0529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A475-497D-ABE9-C36D7B052977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A475-497D-ABE9-C36D7B05297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A475-497D-ABE9-C36D7B052977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A475-497D-ABE9-C36D7B052977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A475-497D-ABE9-C36D7B05297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A475-497D-ABE9-C36D7B05297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A475-497D-ABE9-C36D7B052977}"/>
              </c:ext>
            </c:extLst>
          </c:dPt>
          <c:dPt>
            <c:idx val="1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A475-497D-ABE9-C36D7B052977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A475-497D-ABE9-C36D7B052977}"/>
              </c:ext>
            </c:extLst>
          </c:dPt>
          <c:dPt>
            <c:idx val="14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A475-497D-ABE9-C36D7B052977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A475-497D-ABE9-C36D7B052977}"/>
                </c:ext>
              </c:extLst>
            </c:dLbl>
            <c:dLbl>
              <c:idx val="6"/>
              <c:layout>
                <c:manualLayout>
                  <c:x val="-4.5351473922902773E-3"/>
                  <c:y val="1.363326370349648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A475-497D-ABE9-C36D7B052977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A475-497D-ABE9-C36D7B052977}"/>
                </c:ext>
              </c:extLst>
            </c:dLbl>
            <c:dLbl>
              <c:idx val="8"/>
              <c:layout>
                <c:manualLayout>
                  <c:x val="-1.5299278066432172E-3"/>
                  <c:y val="-2.15716877261229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A475-497D-ABE9-C36D7B052977}"/>
                </c:ext>
              </c:extLst>
            </c:dLbl>
            <c:dLbl>
              <c:idx val="9"/>
              <c:layout>
                <c:manualLayout>
                  <c:x val="-3.02343159486016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A475-497D-ABE9-C36D7B052977}"/>
                </c:ext>
              </c:extLst>
            </c:dLbl>
            <c:dLbl>
              <c:idx val="10"/>
              <c:layout>
                <c:manualLayout>
                  <c:x val="-5.5891704013188881E-2"/>
                  <c:y val="-5.98194333264165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A475-497D-ABE9-C36D7B052977}"/>
                </c:ext>
              </c:extLst>
            </c:dLbl>
            <c:dLbl>
              <c:idx val="11"/>
              <c:layout>
                <c:manualLayout>
                  <c:x val="-6.953892668178388E-2"/>
                  <c:y val="-7.770960310992994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A475-497D-ABE9-C36D7B052977}"/>
                </c:ext>
              </c:extLst>
            </c:dLbl>
            <c:dLbl>
              <c:idx val="12"/>
              <c:layout>
                <c:manualLayout>
                  <c:x val="-6.3863445640723479E-2"/>
                  <c:y val="-9.365730118702787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A475-497D-ABE9-C36D7B052977}"/>
                </c:ext>
              </c:extLst>
            </c:dLbl>
            <c:dLbl>
              <c:idx val="13"/>
              <c:layout>
                <c:manualLayout>
                  <c:x val="-1.9763005814749348E-2"/>
                  <c:y val="-0.1199187242786205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A475-497D-ABE9-C36D7B052977}"/>
                </c:ext>
              </c:extLst>
            </c:dLbl>
            <c:dLbl>
              <c:idx val="14"/>
              <c:layout>
                <c:manualLayout>
                  <c:x val="-4.4552764237803608E-3"/>
                  <c:y val="-9.045756346096392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A475-497D-ABE9-C36D7B0529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'2025.12'!$A$2:$A$28</c15:sqref>
                  </c15:fullRef>
                </c:ext>
              </c:extLst>
              <c:f>'2025.12'!$A$2:$A$16</c:f>
              <c:strCache>
                <c:ptCount val="15"/>
                <c:pt idx="0">
                  <c:v>맞히기</c:v>
                </c:pt>
                <c:pt idx="1">
                  <c:v>디펜스</c:v>
                </c:pt>
                <c:pt idx="2">
                  <c:v>컴까기</c:v>
                </c:pt>
                <c:pt idx="3">
                  <c:v>서바이벌</c:v>
                </c:pt>
                <c:pt idx="4">
                  <c:v>캠페인</c:v>
                </c:pt>
                <c:pt idx="5">
                  <c:v>RPG</c:v>
                </c:pt>
                <c:pt idx="6">
                  <c:v>컨트롤</c:v>
                </c:pt>
                <c:pt idx="7">
                  <c:v>오펜스</c:v>
                </c:pt>
                <c:pt idx="8">
                  <c:v>대전</c:v>
                </c:pt>
                <c:pt idx="9">
                  <c:v>기타</c:v>
                </c:pt>
                <c:pt idx="10">
                  <c:v>밀리기반</c:v>
                </c:pt>
                <c:pt idx="11">
                  <c:v>키우기</c:v>
                </c:pt>
                <c:pt idx="12">
                  <c:v>공포</c:v>
                </c:pt>
                <c:pt idx="13">
                  <c:v>레이싱</c:v>
                </c:pt>
                <c:pt idx="14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'2025.12'!$B$2:$B$28</c15:sqref>
                  </c15:fullRef>
                </c:ext>
              </c:extLst>
              <c:f>'2025.12'!$B$2:$B$16</c:f>
              <c:numCache>
                <c:formatCode>General</c:formatCode>
                <c:ptCount val="15"/>
                <c:pt idx="0">
                  <c:v>60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'2025.12'!$B$21</c15:sqref>
                  <c15:spPr xmlns:c15="http://schemas.microsoft.com/office/drawing/2012/chart"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7.6384499556603046E-3"/>
                        <c:y val="-6.560154736469549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5-C0AF-4AA4-8D1A-C1BF88BE4158}"/>
                      </c:ext>
                    </c:extLst>
                  </c15:dLbl>
                </c15:categoryFilterException>
                <c15:categoryFilterException>
                  <c15:sqref>'2025.12'!$B$22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1.1085787783854144E-16"/>
                        <c:y val="-8.4526234961678201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7-C0AF-4AA4-8D1A-C1BF88BE4158}"/>
                      </c:ext>
                    </c:extLst>
                  </c15:dLbl>
                </c15:categoryFilterException>
                <c15:categoryFilterException>
                  <c15:sqref>'2025.12'!$B$25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4.5351473922902496E-3"/>
                        <c:y val="-0.11042943599832149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C0AF-4AA4-8D1A-C1BF88BE4158}"/>
                      </c:ext>
                    </c:extLst>
                  </c15:dLbl>
                </c15:categoryFilterException>
                <c15:categoryFilterException>
                  <c15:sqref>'2025.12'!$B$27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9.0702947845804991E-3"/>
                        <c:y val="-7.498295036923065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B-C0AF-4AA4-8D1A-C1BF88BE4158}"/>
                      </c:ext>
                    </c:extLst>
                  </c15:dLbl>
                </c15:categoryFilterException>
                <c15:categoryFilterException>
                  <c15:sqref>'2025.12'!$B$28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D-A475-497D-ABE9-C36D7B052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'2025.12'!$B$1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65-4074-9AE9-C0514CA92C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65-4074-9AE9-C0514CA92C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065-4074-9AE9-C0514CA92C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065-4074-9AE9-C0514CA92C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065-4074-9AE9-C0514CA92C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065-4074-9AE9-C0514CA92C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065-4074-9AE9-C0514CA92C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065-4074-9AE9-C0514CA92C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065-4074-9AE9-C0514CA92C36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065-4074-9AE9-C0514CA92C36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065-4074-9AE9-C0514CA92C3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065-4074-9AE9-C0514CA92C3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065-4074-9AE9-C0514CA92C3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065-4074-9AE9-C0514CA92C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'2025.12'!$A$2:$A$27</c15:sqref>
                  </c15:fullRef>
                </c:ext>
              </c:extLst>
              <c:f>'2025.12'!$A$3:$A$16</c:f>
              <c:strCache>
                <c:ptCount val="14"/>
                <c:pt idx="0">
                  <c:v>디펜스</c:v>
                </c:pt>
                <c:pt idx="1">
                  <c:v>컴까기</c:v>
                </c:pt>
                <c:pt idx="2">
                  <c:v>서바이벌</c:v>
                </c:pt>
                <c:pt idx="3">
                  <c:v>캠페인</c:v>
                </c:pt>
                <c:pt idx="4">
                  <c:v>RPG</c:v>
                </c:pt>
                <c:pt idx="5">
                  <c:v>컨트롤</c:v>
                </c:pt>
                <c:pt idx="6">
                  <c:v>오펜스</c:v>
                </c:pt>
                <c:pt idx="7">
                  <c:v>대전</c:v>
                </c:pt>
                <c:pt idx="8">
                  <c:v>기타</c:v>
                </c:pt>
                <c:pt idx="9">
                  <c:v>밀리기반</c:v>
                </c:pt>
                <c:pt idx="10">
                  <c:v>키우기</c:v>
                </c:pt>
                <c:pt idx="11">
                  <c:v>공포</c:v>
                </c:pt>
                <c:pt idx="12">
                  <c:v>레이싱</c:v>
                </c:pt>
                <c:pt idx="13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'2025.12'!$B$2:$B$27</c15:sqref>
                  </c15:fullRef>
                </c:ext>
              </c:extLst>
              <c:f>'2025.12'!$B$3:$B$16</c:f>
              <c:numCache>
                <c:formatCode>General</c:formatCode>
                <c:ptCount val="14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'2025.12'!$B$2</c15:sqref>
                  <c15:bubble3D val="0"/>
                </c15:categoryFilterException>
                <c15:categoryFilterException>
                  <c15:sqref>'2025.12'!$B$17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'2025.12'!$B$18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'2025.12'!$B$19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'2025.12'!$B$20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'2025.12'!$B$21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'2025.12'!$B$22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'2025.12'!$B$23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'2025.12'!$B$24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'2025.12'!$B$25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'2025.12'!$B$26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'2025.12'!$B$27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C-3065-4074-9AE9-C0514CA92C36}"/>
            </c:ext>
          </c:extLst>
        </c:ser>
        <c:ser>
          <c:idx val="0"/>
          <c:order val="1"/>
          <c:tx>
            <c:strRef>
              <c:f>'2025.12'!$B$1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3065-4074-9AE9-C0514CA92C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3065-4074-9AE9-C0514CA92C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3065-4074-9AE9-C0514CA92C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3065-4074-9AE9-C0514CA92C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3065-4074-9AE9-C0514CA92C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3065-4074-9AE9-C0514CA92C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3065-4074-9AE9-C0514CA92C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3065-4074-9AE9-C0514CA92C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3065-4074-9AE9-C0514CA92C36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3065-4074-9AE9-C0514CA92C36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3065-4074-9AE9-C0514CA92C3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3065-4074-9AE9-C0514CA92C3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3065-4074-9AE9-C0514CA92C3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3065-4074-9AE9-C0514CA92C36}"/>
              </c:ext>
            </c:extLst>
          </c:dPt>
          <c:dLbls>
            <c:dLbl>
              <c:idx val="2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2-3065-4074-9AE9-C0514CA92C36}"/>
                </c:ext>
              </c:extLst>
            </c:dLbl>
            <c:dLbl>
              <c:idx val="5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3065-4074-9AE9-C0514CA92C36}"/>
                </c:ext>
              </c:extLst>
            </c:dLbl>
            <c:dLbl>
              <c:idx val="6"/>
              <c:layout>
                <c:manualLayout>
                  <c:x val="1.2726763051794599E-4"/>
                  <c:y val="-2.5809233180994779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3065-4074-9AE9-C0514CA92C36}"/>
                </c:ext>
              </c:extLst>
            </c:dLbl>
            <c:dLbl>
              <c:idx val="8"/>
              <c:layout>
                <c:manualLayout>
                  <c:x val="-1.4233535745508193E-3"/>
                  <c:y val="-4.278938893167552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3065-4074-9AE9-C0514CA92C36}"/>
                </c:ext>
              </c:extLst>
            </c:dLbl>
            <c:dLbl>
              <c:idx val="9"/>
              <c:layout>
                <c:manualLayout>
                  <c:x val="-1.8145678539076927E-2"/>
                  <c:y val="-7.069629502658483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3065-4074-9AE9-C0514CA92C36}"/>
                </c:ext>
              </c:extLst>
            </c:dLbl>
            <c:dLbl>
              <c:idx val="10"/>
              <c:layout>
                <c:manualLayout>
                  <c:x val="-1.0581869745679823E-3"/>
                  <c:y val="-6.1864903949455466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3065-4074-9AE9-C0514CA92C36}"/>
                </c:ext>
              </c:extLst>
            </c:dLbl>
            <c:dLbl>
              <c:idx val="12"/>
              <c:layout>
                <c:manualLayout>
                  <c:x val="-4.5274479203863691E-3"/>
                  <c:y val="-8.814994362749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3065-4074-9AE9-C0514CA92C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'2025.12'!$A$2:$A$27</c15:sqref>
                  </c15:fullRef>
                </c:ext>
              </c:extLst>
              <c:f>'2025.12'!$A$3:$A$16</c:f>
              <c:strCache>
                <c:ptCount val="14"/>
                <c:pt idx="0">
                  <c:v>디펜스</c:v>
                </c:pt>
                <c:pt idx="1">
                  <c:v>컴까기</c:v>
                </c:pt>
                <c:pt idx="2">
                  <c:v>서바이벌</c:v>
                </c:pt>
                <c:pt idx="3">
                  <c:v>캠페인</c:v>
                </c:pt>
                <c:pt idx="4">
                  <c:v>RPG</c:v>
                </c:pt>
                <c:pt idx="5">
                  <c:v>컨트롤</c:v>
                </c:pt>
                <c:pt idx="6">
                  <c:v>오펜스</c:v>
                </c:pt>
                <c:pt idx="7">
                  <c:v>대전</c:v>
                </c:pt>
                <c:pt idx="8">
                  <c:v>기타</c:v>
                </c:pt>
                <c:pt idx="9">
                  <c:v>밀리기반</c:v>
                </c:pt>
                <c:pt idx="10">
                  <c:v>키우기</c:v>
                </c:pt>
                <c:pt idx="11">
                  <c:v>공포</c:v>
                </c:pt>
                <c:pt idx="12">
                  <c:v>레이싱</c:v>
                </c:pt>
                <c:pt idx="13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'2025.12'!$B$2:$B$27</c15:sqref>
                  </c15:fullRef>
                </c:ext>
              </c:extLst>
              <c:f>'2025.12'!$B$3:$B$16</c:f>
              <c:numCache>
                <c:formatCode>General</c:formatCode>
                <c:ptCount val="14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'2025.12'!$B$2</c15:sqref>
                  <c15:bubble3D val="0"/>
                </c15:categoryFilterException>
                <c15:categoryFilterException>
                  <c15:sqref>'2025.12'!$B$17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8.8741544159194104E-3"/>
                        <c:y val="-2.9437634945965281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5177-44A7-8D55-31B2A4EFB8BB}"/>
                      </c:ext>
                    </c:extLst>
                  </c15:dLbl>
                </c15:categoryFilterException>
                <c15:categoryFilterException>
                  <c15:sqref>'2025.12'!$B$18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2.8676213442195165E-3"/>
                        <c:y val="-3.3156570716715477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5177-44A7-8D55-31B2A4EFB8BB}"/>
                      </c:ext>
                    </c:extLst>
                  </c15:dLbl>
                </c15:categoryFilterException>
                <c15:categoryFilterException>
                  <c15:sqref>'2025.12'!$B$19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6.2319072902249785E-2"/>
                        <c:y val="-7.0619341121672077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5177-44A7-8D55-31B2A4EFB8BB}"/>
                      </c:ext>
                    </c:extLst>
                  </c15:dLbl>
                </c15:categoryFilterException>
                <c15:categoryFilterException>
                  <c15:sqref>'2025.12'!$B$20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7.7239925150947611E-6"/>
                        <c:y val="-2.8124891862159529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5177-44A7-8D55-31B2A4EFB8BB}"/>
                      </c:ext>
                    </c:extLst>
                  </c15:dLbl>
                </c15:categoryFilterException>
                <c15:categoryFilterException>
                  <c15:sqref>'2025.12'!$B$21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1.6494883092620057E-3"/>
                        <c:y val="-1.0148862047902885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5177-44A7-8D55-31B2A4EFB8BB}"/>
                      </c:ext>
                    </c:extLst>
                  </c15:dLbl>
                </c15:categoryFilterException>
                <c15:categoryFilterException>
                  <c15:sqref>'2025.12'!$B$22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1.5117157974300554E-3"/>
                        <c:y val="-4.089979111048944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5177-44A7-8D55-31B2A4EFB8BB}"/>
                      </c:ext>
                    </c:extLst>
                  </c15:dLbl>
                </c15:categoryFilterException>
                <c15:categoryFilterException>
                  <c15:sqref>'2025.12'!$B$23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'2025.12'!$B$24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9.9817749426393335E-6"/>
                        <c:y val="-8.1784095307763316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F-5177-44A7-8D55-31B2A4EFB8BB}"/>
                      </c:ext>
                    </c:extLst>
                  </c15:dLbl>
                </c15:categoryFilterException>
                <c15:categoryFilterException>
                  <c15:sqref>'2025.12'!$B$25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5.5981358797633468E-2"/>
                        <c:y val="-9.322316753136704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5177-44A7-8D55-31B2A4EFB8BB}"/>
                      </c:ext>
                    </c:extLst>
                  </c15:dLbl>
                </c15:categoryFilterException>
                <c15:categoryFilterException>
                  <c15:sqref>'2025.12'!$B$26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3.0234315948601664E-3"/>
                        <c:y val="-8.861621407272712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5177-44A7-8D55-31B2A4EFB8BB}"/>
                      </c:ext>
                    </c:extLst>
                  </c15:dLbl>
                </c15:categoryFilterException>
                <c15:categoryFilterException>
                  <c15:sqref>'2025.12'!$B$27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9-3065-4074-9AE9-C0514CA92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'2026.01'!$B$1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222-4E91-800A-EA89EB3E61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222-4E91-800A-EA89EB3E61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222-4E91-800A-EA89EB3E61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222-4E91-800A-EA89EB3E61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222-4E91-800A-EA89EB3E61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222-4E91-800A-EA89EB3E61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222-4E91-800A-EA89EB3E61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222-4E91-800A-EA89EB3E6132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222-4E91-800A-EA89EB3E6132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222-4E91-800A-EA89EB3E613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222-4E91-800A-EA89EB3E613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222-4E91-800A-EA89EB3E6132}"/>
              </c:ext>
            </c:extLst>
          </c:dPt>
          <c:dPt>
            <c:idx val="1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222-4E91-800A-EA89EB3E6132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222-4E91-800A-EA89EB3E6132}"/>
              </c:ext>
            </c:extLst>
          </c:dPt>
          <c:dPt>
            <c:idx val="1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222-4E91-800A-EA89EB3E61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'2026.01'!$A$2:$A$28</c15:sqref>
                  </c15:fullRef>
                </c:ext>
              </c:extLst>
              <c:f>'2026.01'!$A$2:$A$16</c:f>
              <c:strCache>
                <c:ptCount val="15"/>
                <c:pt idx="0">
                  <c:v>맞히기</c:v>
                </c:pt>
                <c:pt idx="1">
                  <c:v>디펜스</c:v>
                </c:pt>
                <c:pt idx="2">
                  <c:v>컴까기</c:v>
                </c:pt>
                <c:pt idx="3">
                  <c:v>서바이벌</c:v>
                </c:pt>
                <c:pt idx="4">
                  <c:v>캠페인</c:v>
                </c:pt>
                <c:pt idx="5">
                  <c:v>RPG</c:v>
                </c:pt>
                <c:pt idx="6">
                  <c:v>컨트롤</c:v>
                </c:pt>
                <c:pt idx="7">
                  <c:v>오펜스</c:v>
                </c:pt>
                <c:pt idx="8">
                  <c:v>대전</c:v>
                </c:pt>
                <c:pt idx="9">
                  <c:v>기타</c:v>
                </c:pt>
                <c:pt idx="10">
                  <c:v>밀리기반</c:v>
                </c:pt>
                <c:pt idx="11">
                  <c:v>키우기</c:v>
                </c:pt>
                <c:pt idx="12">
                  <c:v>공포</c:v>
                </c:pt>
                <c:pt idx="13">
                  <c:v>레이싱</c:v>
                </c:pt>
                <c:pt idx="14">
                  <c:v>영상</c:v>
                </c:pt>
                <c:pt idx="15">
                  <c:v>AOS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'2026.01'!$B$2:$B$27</c15:sqref>
                  </c15:fullRef>
                </c:ext>
              </c:extLst>
              <c:f>'2026.01'!$B$2:$B$16</c:f>
              <c:numCache>
                <c:formatCode>General</c:formatCode>
                <c:ptCount val="15"/>
                <c:pt idx="0">
                  <c:v>40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'2026.01'!$B$21</c15:sqref>
                  <c15:spPr xmlns:c15="http://schemas.microsoft.com/office/drawing/2012/chart"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'2026.01'!$B$22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'2026.01'!$B$25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'2026.01'!$B$27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E-5222-4E91-800A-EA89EB3E6132}"/>
            </c:ext>
          </c:extLst>
        </c:ser>
        <c:ser>
          <c:idx val="0"/>
          <c:order val="1"/>
          <c:tx>
            <c:strRef>
              <c:f>'2026.01'!$B$1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0-5222-4E91-800A-EA89EB3E61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2-5222-4E91-800A-EA89EB3E61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5222-4E91-800A-EA89EB3E61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5222-4E91-800A-EA89EB3E61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5222-4E91-800A-EA89EB3E61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5222-4E91-800A-EA89EB3E61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5222-4E91-800A-EA89EB3E61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5222-4E91-800A-EA89EB3E6132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5222-4E91-800A-EA89EB3E6132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5222-4E91-800A-EA89EB3E613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5222-4E91-800A-EA89EB3E613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5222-4E91-800A-EA89EB3E6132}"/>
              </c:ext>
            </c:extLst>
          </c:dPt>
          <c:dPt>
            <c:idx val="1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5222-4E91-800A-EA89EB3E6132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5222-4E91-800A-EA89EB3E6132}"/>
              </c:ext>
            </c:extLst>
          </c:dPt>
          <c:dPt>
            <c:idx val="14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5222-4E91-800A-EA89EB3E6132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222-4E91-800A-EA89EB3E6132}"/>
                </c:ext>
              </c:extLst>
            </c:dLbl>
            <c:dLbl>
              <c:idx val="6"/>
              <c:layout>
                <c:manualLayout>
                  <c:x val="-4.5351473922902773E-3"/>
                  <c:y val="1.363326370349648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222-4E91-800A-EA89EB3E6132}"/>
                </c:ext>
              </c:extLst>
            </c:dLbl>
            <c:dLbl>
              <c:idx val="7"/>
              <c:layout>
                <c:manualLayout>
                  <c:x val="-2.175323322679903E-3"/>
                  <c:y val="-1.320709002709484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5222-4E91-800A-EA89EB3E6132}"/>
                </c:ext>
              </c:extLst>
            </c:dLbl>
            <c:dLbl>
              <c:idx val="8"/>
              <c:layout>
                <c:manualLayout>
                  <c:x val="-1.5299278066432172E-3"/>
                  <c:y val="-2.15716877261229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5222-4E91-800A-EA89EB3E6132}"/>
                </c:ext>
              </c:extLst>
            </c:dLbl>
            <c:dLbl>
              <c:idx val="9"/>
              <c:layout>
                <c:manualLayout>
                  <c:x val="-3.023431594860166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5222-4E91-800A-EA89EB3E6132}"/>
                </c:ext>
              </c:extLst>
            </c:dLbl>
            <c:dLbl>
              <c:idx val="10"/>
              <c:layout>
                <c:manualLayout>
                  <c:x val="-5.5891704013188881E-2"/>
                  <c:y val="-5.98194333264165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5222-4E91-800A-EA89EB3E6132}"/>
                </c:ext>
              </c:extLst>
            </c:dLbl>
            <c:dLbl>
              <c:idx val="11"/>
              <c:layout>
                <c:manualLayout>
                  <c:x val="-6.953892668178388E-2"/>
                  <c:y val="-7.770960310992994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5222-4E91-800A-EA89EB3E6132}"/>
                </c:ext>
              </c:extLst>
            </c:dLbl>
            <c:dLbl>
              <c:idx val="12"/>
              <c:layout>
                <c:manualLayout>
                  <c:x val="-6.3863445640723479E-2"/>
                  <c:y val="-9.365730118702787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5222-4E91-800A-EA89EB3E6132}"/>
                </c:ext>
              </c:extLst>
            </c:dLbl>
            <c:dLbl>
              <c:idx val="13"/>
              <c:layout>
                <c:manualLayout>
                  <c:x val="-1.9763005814749348E-2"/>
                  <c:y val="-0.1199187242786205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5222-4E91-800A-EA89EB3E6132}"/>
                </c:ext>
              </c:extLst>
            </c:dLbl>
            <c:dLbl>
              <c:idx val="14"/>
              <c:layout>
                <c:manualLayout>
                  <c:x val="-4.4552764237803608E-3"/>
                  <c:y val="-9.045756346096392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5222-4E91-800A-EA89EB3E61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'2026.01'!$A$2:$A$28</c15:sqref>
                  </c15:fullRef>
                </c:ext>
              </c:extLst>
              <c:f>'2026.01'!$A$2:$A$16</c:f>
              <c:strCache>
                <c:ptCount val="15"/>
                <c:pt idx="0">
                  <c:v>맞히기</c:v>
                </c:pt>
                <c:pt idx="1">
                  <c:v>디펜스</c:v>
                </c:pt>
                <c:pt idx="2">
                  <c:v>컴까기</c:v>
                </c:pt>
                <c:pt idx="3">
                  <c:v>서바이벌</c:v>
                </c:pt>
                <c:pt idx="4">
                  <c:v>캠페인</c:v>
                </c:pt>
                <c:pt idx="5">
                  <c:v>RPG</c:v>
                </c:pt>
                <c:pt idx="6">
                  <c:v>컨트롤</c:v>
                </c:pt>
                <c:pt idx="7">
                  <c:v>오펜스</c:v>
                </c:pt>
                <c:pt idx="8">
                  <c:v>대전</c:v>
                </c:pt>
                <c:pt idx="9">
                  <c:v>기타</c:v>
                </c:pt>
                <c:pt idx="10">
                  <c:v>밀리기반</c:v>
                </c:pt>
                <c:pt idx="11">
                  <c:v>키우기</c:v>
                </c:pt>
                <c:pt idx="12">
                  <c:v>공포</c:v>
                </c:pt>
                <c:pt idx="13">
                  <c:v>레이싱</c:v>
                </c:pt>
                <c:pt idx="14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'2026.01'!$B$2:$B$28</c15:sqref>
                  </c15:fullRef>
                </c:ext>
              </c:extLst>
              <c:f>'2026.01'!$B$2:$B$16</c:f>
              <c:numCache>
                <c:formatCode>General</c:formatCode>
                <c:ptCount val="15"/>
                <c:pt idx="0">
                  <c:v>40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'2026.01'!$B$21</c15:sqref>
                  <c15:spPr xmlns:c15="http://schemas.microsoft.com/office/drawing/2012/chart"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7.6384499556603046E-3"/>
                        <c:y val="-6.560154736469549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5-6FAE-40D4-94B7-9E289C8CE44E}"/>
                      </c:ext>
                    </c:extLst>
                  </c15:dLbl>
                </c15:categoryFilterException>
                <c15:categoryFilterException>
                  <c15:sqref>'2026.01'!$B$22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1.1085787783854144E-16"/>
                        <c:y val="-8.4526234961678201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7-6FAE-40D4-94B7-9E289C8CE44E}"/>
                      </c:ext>
                    </c:extLst>
                  </c15:dLbl>
                </c15:categoryFilterException>
                <c15:categoryFilterException>
                  <c15:sqref>'2026.01'!$B$25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4.5351473922902496E-3"/>
                        <c:y val="-0.11042943599832149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6FAE-40D4-94B7-9E289C8CE44E}"/>
                      </c:ext>
                    </c:extLst>
                  </c15:dLbl>
                </c15:categoryFilterException>
                <c15:categoryFilterException>
                  <c15:sqref>'2026.01'!$B$27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9.0702947845804991E-3"/>
                        <c:y val="-7.498295036923065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B-6FAE-40D4-94B7-9E289C8CE44E}"/>
                      </c:ext>
                    </c:extLst>
                  </c15:dLbl>
                </c15:categoryFilterException>
                <c15:categoryFilterException>
                  <c15:sqref>'2026.01'!$B$28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D-5222-4E91-800A-EA89EB3E6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'2026.01'!$B$1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4A-43E1-9ED4-ED7749F39F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4A-43E1-9ED4-ED7749F39F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4A-43E1-9ED4-ED7749F39F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D4A-43E1-9ED4-ED7749F39F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D4A-43E1-9ED4-ED7749F39F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D4A-43E1-9ED4-ED7749F39FBE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D4A-43E1-9ED4-ED7749F39FB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D4A-43E1-9ED4-ED7749F39FB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D4A-43E1-9ED4-ED7749F39FBE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D4A-43E1-9ED4-ED7749F39FBE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D4A-43E1-9ED4-ED7749F39FB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D4A-43E1-9ED4-ED7749F39FB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D4A-43E1-9ED4-ED7749F39FB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D4A-43E1-9ED4-ED7749F39F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'2026.01'!$A$2:$A$27</c15:sqref>
                  </c15:fullRef>
                </c:ext>
              </c:extLst>
              <c:f>'2026.01'!$A$3:$A$16</c:f>
              <c:strCache>
                <c:ptCount val="14"/>
                <c:pt idx="0">
                  <c:v>디펜스</c:v>
                </c:pt>
                <c:pt idx="1">
                  <c:v>컴까기</c:v>
                </c:pt>
                <c:pt idx="2">
                  <c:v>서바이벌</c:v>
                </c:pt>
                <c:pt idx="3">
                  <c:v>캠페인</c:v>
                </c:pt>
                <c:pt idx="4">
                  <c:v>RPG</c:v>
                </c:pt>
                <c:pt idx="5">
                  <c:v>컨트롤</c:v>
                </c:pt>
                <c:pt idx="6">
                  <c:v>오펜스</c:v>
                </c:pt>
                <c:pt idx="7">
                  <c:v>대전</c:v>
                </c:pt>
                <c:pt idx="8">
                  <c:v>기타</c:v>
                </c:pt>
                <c:pt idx="9">
                  <c:v>밀리기반</c:v>
                </c:pt>
                <c:pt idx="10">
                  <c:v>키우기</c:v>
                </c:pt>
                <c:pt idx="11">
                  <c:v>공포</c:v>
                </c:pt>
                <c:pt idx="12">
                  <c:v>레이싱</c:v>
                </c:pt>
                <c:pt idx="13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'2026.01'!$B$2:$B$27</c15:sqref>
                  </c15:fullRef>
                </c:ext>
              </c:extLst>
              <c:f>'2026.01'!$B$3:$B$16</c:f>
              <c:numCache>
                <c:formatCode>General</c:formatCode>
                <c:ptCount val="14"/>
                <c:pt idx="0">
                  <c:v>9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'2026.01'!$B$2</c15:sqref>
                  <c15:bubble3D val="0"/>
                </c15:categoryFilterException>
                <c15:categoryFilterException>
                  <c15:sqref>'2026.01'!$B$17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'2026.01'!$B$18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'2026.01'!$B$19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'2026.01'!$B$20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'2026.01'!$B$21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'2026.01'!$B$22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'2026.01'!$B$23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'2026.01'!$B$24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'2026.01'!$B$25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'2026.01'!$B$26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'2026.01'!$B$27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C-0D4A-43E1-9ED4-ED7749F39FBE}"/>
            </c:ext>
          </c:extLst>
        </c:ser>
        <c:ser>
          <c:idx val="0"/>
          <c:order val="1"/>
          <c:tx>
            <c:strRef>
              <c:f>'2026.01'!$B$1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0D4A-43E1-9ED4-ED7749F39F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0D4A-43E1-9ED4-ED7749F39F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0D4A-43E1-9ED4-ED7749F39F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0D4A-43E1-9ED4-ED7749F39F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0D4A-43E1-9ED4-ED7749F39F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0D4A-43E1-9ED4-ED7749F39FBE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0D4A-43E1-9ED4-ED7749F39FB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0D4A-43E1-9ED4-ED7749F39FB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0D4A-43E1-9ED4-ED7749F39FBE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0D4A-43E1-9ED4-ED7749F39FBE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0D4A-43E1-9ED4-ED7749F39FB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0D4A-43E1-9ED4-ED7749F39FB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0D4A-43E1-9ED4-ED7749F39FB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0D4A-43E1-9ED4-ED7749F39FBE}"/>
              </c:ext>
            </c:extLst>
          </c:dPt>
          <c:dLbls>
            <c:dLbl>
              <c:idx val="2"/>
              <c:layout>
                <c:manualLayout>
                  <c:x val="-4.7438713018015605E-3"/>
                  <c:y val="-2.87527678477412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2-0D4A-43E1-9ED4-ED7749F39FBE}"/>
                </c:ext>
              </c:extLst>
            </c:dLbl>
            <c:dLbl>
              <c:idx val="5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D4A-43E1-9ED4-ED7749F39FBE}"/>
                </c:ext>
              </c:extLst>
            </c:dLbl>
            <c:dLbl>
              <c:idx val="6"/>
              <c:layout>
                <c:manualLayout>
                  <c:x val="1.2726763051794599E-4"/>
                  <c:y val="-2.5809233180994779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D4A-43E1-9ED4-ED7749F39FBE}"/>
                </c:ext>
              </c:extLst>
            </c:dLbl>
            <c:dLbl>
              <c:idx val="8"/>
              <c:layout>
                <c:manualLayout>
                  <c:x val="-1.4233535745508193E-3"/>
                  <c:y val="-4.278938893167552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0D4A-43E1-9ED4-ED7749F39FBE}"/>
                </c:ext>
              </c:extLst>
            </c:dLbl>
            <c:dLbl>
              <c:idx val="9"/>
              <c:layout>
                <c:manualLayout>
                  <c:x val="-1.8145678539076927E-2"/>
                  <c:y val="-7.069629502658483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0D4A-43E1-9ED4-ED7749F39FBE}"/>
                </c:ext>
              </c:extLst>
            </c:dLbl>
            <c:dLbl>
              <c:idx val="10"/>
              <c:layout>
                <c:manualLayout>
                  <c:x val="-1.0581869745679823E-3"/>
                  <c:y val="-6.1864903949455466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0D4A-43E1-9ED4-ED7749F39FBE}"/>
                </c:ext>
              </c:extLst>
            </c:dLbl>
            <c:dLbl>
              <c:idx val="12"/>
              <c:layout>
                <c:manualLayout>
                  <c:x val="-4.5274479203863691E-3"/>
                  <c:y val="-8.8149943627492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0D4A-43E1-9ED4-ED7749F39F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'2026.01'!$A$2:$A$27</c15:sqref>
                  </c15:fullRef>
                </c:ext>
              </c:extLst>
              <c:f>'2026.01'!$A$3:$A$16</c:f>
              <c:strCache>
                <c:ptCount val="14"/>
                <c:pt idx="0">
                  <c:v>디펜스</c:v>
                </c:pt>
                <c:pt idx="1">
                  <c:v>컴까기</c:v>
                </c:pt>
                <c:pt idx="2">
                  <c:v>서바이벌</c:v>
                </c:pt>
                <c:pt idx="3">
                  <c:v>캠페인</c:v>
                </c:pt>
                <c:pt idx="4">
                  <c:v>RPG</c:v>
                </c:pt>
                <c:pt idx="5">
                  <c:v>컨트롤</c:v>
                </c:pt>
                <c:pt idx="6">
                  <c:v>오펜스</c:v>
                </c:pt>
                <c:pt idx="7">
                  <c:v>대전</c:v>
                </c:pt>
                <c:pt idx="8">
                  <c:v>기타</c:v>
                </c:pt>
                <c:pt idx="9">
                  <c:v>밀리기반</c:v>
                </c:pt>
                <c:pt idx="10">
                  <c:v>키우기</c:v>
                </c:pt>
                <c:pt idx="11">
                  <c:v>공포</c:v>
                </c:pt>
                <c:pt idx="12">
                  <c:v>레이싱</c:v>
                </c:pt>
                <c:pt idx="13">
                  <c:v>영상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'2026.01'!$B$2:$B$27</c15:sqref>
                  </c15:fullRef>
                </c:ext>
              </c:extLst>
              <c:f>'2026.01'!$B$3:$B$16</c:f>
              <c:numCache>
                <c:formatCode>General</c:formatCode>
                <c:ptCount val="14"/>
                <c:pt idx="0">
                  <c:v>9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'2026.01'!$B$2</c15:sqref>
                  <c15:bubble3D val="0"/>
                </c15:categoryFilterException>
                <c15:categoryFilterException>
                  <c15:sqref>'2026.01'!$B$17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8.8741544159194104E-3"/>
                        <c:y val="-2.9437634945965281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AA29-40F2-BE11-BFAF6A6F60B1}"/>
                      </c:ext>
                    </c:extLst>
                  </c15:dLbl>
                </c15:categoryFilterException>
                <c15:categoryFilterException>
                  <c15:sqref>'2026.01'!$B$18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2.8676213442195165E-3"/>
                        <c:y val="-3.3156570716715477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AA29-40F2-BE11-BFAF6A6F60B1}"/>
                      </c:ext>
                    </c:extLst>
                  </c15:dLbl>
                </c15:categoryFilterException>
                <c15:categoryFilterException>
                  <c15:sqref>'2026.01'!$B$19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6.2319072902249785E-2"/>
                        <c:y val="-7.0619341121672077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AA29-40F2-BE11-BFAF6A6F60B1}"/>
                      </c:ext>
                    </c:extLst>
                  </c15:dLbl>
                </c15:categoryFilterException>
                <c15:categoryFilterException>
                  <c15:sqref>'2026.01'!$B$20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7.7239925150947611E-6"/>
                        <c:y val="-2.8124891862159529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AA29-40F2-BE11-BFAF6A6F60B1}"/>
                      </c:ext>
                    </c:extLst>
                  </c15:dLbl>
                </c15:categoryFilterException>
                <c15:categoryFilterException>
                  <c15:sqref>'2026.01'!$B$21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1.6494883092620057E-3"/>
                        <c:y val="-1.0148862047902885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AA29-40F2-BE11-BFAF6A6F60B1}"/>
                      </c:ext>
                    </c:extLst>
                  </c15:dLbl>
                </c15:categoryFilterException>
                <c15:categoryFilterException>
                  <c15:sqref>'2026.01'!$B$22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1.5117157974300554E-3"/>
                        <c:y val="-4.089979111048944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AA29-40F2-BE11-BFAF6A6F60B1}"/>
                      </c:ext>
                    </c:extLst>
                  </c15:dLbl>
                </c15:categoryFilterException>
                <c15:categoryFilterException>
                  <c15:sqref>'2026.01'!$B$23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'2026.01'!$B$24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9.9817749426393335E-6"/>
                        <c:y val="-8.1784095307763316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F-AA29-40F2-BE11-BFAF6A6F60B1}"/>
                      </c:ext>
                    </c:extLst>
                  </c15:dLbl>
                </c15:categoryFilterException>
                <c15:categoryFilterException>
                  <c15:sqref>'2026.01'!$B$25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5.5981358797633468E-2"/>
                        <c:y val="-9.322316753136704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AA29-40F2-BE11-BFAF6A6F60B1}"/>
                      </c:ext>
                    </c:extLst>
                  </c15:dLbl>
                </c15:categoryFilterException>
                <c15:categoryFilterException>
                  <c15:sqref>'2026.01'!$B$26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3.0234315948601664E-3"/>
                        <c:y val="-8.861621407272712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AA29-40F2-BE11-BFAF6A6F60B1}"/>
                      </c:ext>
                    </c:extLst>
                  </c15:dLbl>
                </c15:categoryFilterException>
                <c15:categoryFilterException>
                  <c15:sqref>'2026.01'!$B$27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9-0D4A-43E1-9ED4-ED7749F39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'2026.02'!$B$1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CEB-4971-B942-A9366766F4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CEB-4971-B942-A9366766F4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CEB-4971-B942-A9366766F4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CEB-4971-B942-A9366766F4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CEB-4971-B942-A9366766F4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CEB-4971-B942-A9366766F4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CEB-4971-B942-A9366766F44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CEB-4971-B942-A9366766F444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CEB-4971-B942-A9366766F444}"/>
              </c:ext>
            </c:extLst>
          </c:dPt>
          <c:dPt>
            <c:idx val="9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CEB-4971-B942-A9366766F44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CEB-4971-B942-A9366766F4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'2026.02'!$A$2:$A$28</c15:sqref>
                  </c15:fullRef>
                </c:ext>
              </c:extLst>
              <c:f>'2026.02'!$A$2:$A$12</c:f>
              <c:strCache>
                <c:ptCount val="11"/>
                <c:pt idx="0">
                  <c:v>맞히기</c:v>
                </c:pt>
                <c:pt idx="1">
                  <c:v>디펜스</c:v>
                </c:pt>
                <c:pt idx="2">
                  <c:v>캠페인</c:v>
                </c:pt>
                <c:pt idx="3">
                  <c:v>대전</c:v>
                </c:pt>
                <c:pt idx="4">
                  <c:v>RPG</c:v>
                </c:pt>
                <c:pt idx="5">
                  <c:v>키우기</c:v>
                </c:pt>
                <c:pt idx="6">
                  <c:v>컴까기</c:v>
                </c:pt>
                <c:pt idx="7">
                  <c:v>서바이벌</c:v>
                </c:pt>
                <c:pt idx="8">
                  <c:v>컨트롤</c:v>
                </c:pt>
                <c:pt idx="9">
                  <c:v>디플로메시</c:v>
                </c:pt>
                <c:pt idx="10">
                  <c:v>어드벤처</c:v>
                </c:pt>
                <c:pt idx="11">
                  <c:v>AOS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'2026.02'!$B$2:$B$27</c15:sqref>
                  </c15:fullRef>
                </c:ext>
              </c:extLst>
              <c:f>'2026.02'!$B$2:$B$12</c:f>
              <c:numCache>
                <c:formatCode>General</c:formatCode>
                <c:ptCount val="11"/>
                <c:pt idx="0">
                  <c:v>27</c:v>
                </c:pt>
                <c:pt idx="1">
                  <c:v>12</c:v>
                </c:pt>
                <c:pt idx="2">
                  <c:v>10</c:v>
                </c:pt>
                <c:pt idx="3">
                  <c:v>10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'2026.02'!$B$13</c15:sqref>
                  <c15:spPr xmlns:c15="http://schemas.microsoft.com/office/drawing/2012/chart">
                    <a:solidFill>
                      <a:schemeClr val="accent6">
                        <a:lumMod val="6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'2026.02'!$B$14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'2026.02'!$B$15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'2026.02'!$B$16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'2026.02'!$B$23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'2026.02'!$B$25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'2026.02'!$B$27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E-7CEB-4971-B942-A9366766F444}"/>
            </c:ext>
          </c:extLst>
        </c:ser>
        <c:ser>
          <c:idx val="0"/>
          <c:order val="1"/>
          <c:tx>
            <c:strRef>
              <c:f>'2026.02'!$B$1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0-7CEB-4971-B942-A9366766F4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2-7CEB-4971-B942-A9366766F4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7CEB-4971-B942-A9366766F4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7CEB-4971-B942-A9366766F4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7CEB-4971-B942-A9366766F4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7CEB-4971-B942-A9366766F4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7CEB-4971-B942-A9366766F44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7CEB-4971-B942-A9366766F444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7CEB-4971-B942-A9366766F444}"/>
              </c:ext>
            </c:extLst>
          </c:dPt>
          <c:dPt>
            <c:idx val="9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7CEB-4971-B942-A9366766F44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7CEB-4971-B942-A9366766F444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CEB-4971-B942-A9366766F444}"/>
                </c:ext>
              </c:extLst>
            </c:dLbl>
            <c:dLbl>
              <c:idx val="6"/>
              <c:layout>
                <c:manualLayout>
                  <c:x val="-7.407407407407407E-2"/>
                  <c:y val="-6.271301303608384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CEB-4971-B942-A9366766F444}"/>
                </c:ext>
              </c:extLst>
            </c:dLbl>
            <c:dLbl>
              <c:idx val="7"/>
              <c:layout>
                <c:manualLayout>
                  <c:x val="-7.4737681599323952E-2"/>
                  <c:y val="-8.584694396438777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CEB-4971-B942-A9366766F444}"/>
                </c:ext>
              </c:extLst>
            </c:dLbl>
            <c:dLbl>
              <c:idx val="8"/>
              <c:layout>
                <c:manualLayout>
                  <c:x val="-2.7229096362954629E-2"/>
                  <c:y val="-6.759683454939541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CEB-4971-B942-A9366766F444}"/>
                </c:ext>
              </c:extLst>
            </c:dLbl>
            <c:dLbl>
              <c:idx val="9"/>
              <c:layout>
                <c:manualLayout>
                  <c:x val="-2.4267323727391221E-2"/>
                  <c:y val="-9.695805388273741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CEB-4971-B942-A9366766F444}"/>
                </c:ext>
              </c:extLst>
            </c:dLbl>
            <c:dLbl>
              <c:idx val="10"/>
              <c:layout>
                <c:manualLayout>
                  <c:x val="-1.4699353057058345E-3"/>
                  <c:y val="-7.617934977061230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7CEB-4971-B942-A9366766F4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'2026.02'!$A$2:$A$28</c15:sqref>
                  </c15:fullRef>
                </c:ext>
              </c:extLst>
              <c:f>'2026.02'!$A$2:$A$12</c:f>
              <c:strCache>
                <c:ptCount val="11"/>
                <c:pt idx="0">
                  <c:v>맞히기</c:v>
                </c:pt>
                <c:pt idx="1">
                  <c:v>디펜스</c:v>
                </c:pt>
                <c:pt idx="2">
                  <c:v>캠페인</c:v>
                </c:pt>
                <c:pt idx="3">
                  <c:v>대전</c:v>
                </c:pt>
                <c:pt idx="4">
                  <c:v>RPG</c:v>
                </c:pt>
                <c:pt idx="5">
                  <c:v>키우기</c:v>
                </c:pt>
                <c:pt idx="6">
                  <c:v>컴까기</c:v>
                </c:pt>
                <c:pt idx="7">
                  <c:v>서바이벌</c:v>
                </c:pt>
                <c:pt idx="8">
                  <c:v>컨트롤</c:v>
                </c:pt>
                <c:pt idx="9">
                  <c:v>디플로메시</c:v>
                </c:pt>
                <c:pt idx="10">
                  <c:v>어드벤처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'2026.02'!$B$2:$B$28</c15:sqref>
                  </c15:fullRef>
                </c:ext>
              </c:extLst>
              <c:f>'2026.02'!$B$2:$B$12</c:f>
              <c:numCache>
                <c:formatCode>General</c:formatCode>
                <c:ptCount val="11"/>
                <c:pt idx="0">
                  <c:v>27</c:v>
                </c:pt>
                <c:pt idx="1">
                  <c:v>12</c:v>
                </c:pt>
                <c:pt idx="2">
                  <c:v>10</c:v>
                </c:pt>
                <c:pt idx="3">
                  <c:v>10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'2026.02'!$B$13</c15:sqref>
                  <c15:spPr xmlns:c15="http://schemas.microsoft.com/office/drawing/2012/chart">
                    <a:solidFill>
                      <a:schemeClr val="accent6">
                        <a:lumMod val="6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0"/>
                    <c:layout>
                      <c:manualLayout>
                        <c:x val="-6.953892668178388E-2"/>
                        <c:y val="-7.770960310992994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B-63FA-4997-8DD2-24EF6E45ACD7}"/>
                      </c:ext>
                    </c:extLst>
                  </c15:dLbl>
                </c15:categoryFilterException>
                <c15:categoryFilterException>
                  <c15:sqref>'2026.02'!$B$14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0"/>
                    <c:layout>
                      <c:manualLayout>
                        <c:x val="-6.3863445640723479E-2"/>
                        <c:y val="-9.3657301187027878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D-63FA-4997-8DD2-24EF6E45ACD7}"/>
                      </c:ext>
                    </c:extLst>
                  </c15:dLbl>
                </c15:categoryFilterException>
                <c15:categoryFilterException>
                  <c15:sqref>'2026.02'!$B$15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0"/>
                    <c:layout>
                      <c:manualLayout>
                        <c:x val="-1.9763005814749348E-2"/>
                        <c:y val="-0.11991872427862055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F-63FA-4997-8DD2-24EF6E45ACD7}"/>
                      </c:ext>
                    </c:extLst>
                  </c15:dLbl>
                </c15:categoryFilterException>
                <c15:categoryFilterException>
                  <c15:sqref>'2026.02'!$B$16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0"/>
                    <c:layout>
                      <c:manualLayout>
                        <c:x val="-4.4552764237803608E-3"/>
                        <c:y val="-9.0457563460963925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1-63FA-4997-8DD2-24EF6E45ACD7}"/>
                      </c:ext>
                    </c:extLst>
                  </c15:dLbl>
                </c15:categoryFilterException>
                <c15:categoryFilterException>
                  <c15:sqref>'2026.02'!$B$23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0"/>
                    <c:layout>
                      <c:manualLayout>
                        <c:x val="-1.1085787783854144E-16"/>
                        <c:y val="-8.4526234961678201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3-63FA-4997-8DD2-24EF6E45ACD7}"/>
                      </c:ext>
                    </c:extLst>
                  </c15:dLbl>
                </c15:categoryFilterException>
                <c15:categoryFilterException>
                  <c15:sqref>'2026.02'!$B$25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0"/>
                    <c:layout>
                      <c:manualLayout>
                        <c:x val="4.5351473922902496E-3"/>
                        <c:y val="-0.11042943599832149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5-63FA-4997-8DD2-24EF6E45ACD7}"/>
                      </c:ext>
                    </c:extLst>
                  </c15:dLbl>
                </c15:categoryFilterException>
                <c15:categoryFilterException>
                  <c15:sqref>'2026.02'!$B$27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0"/>
                    <c:layout>
                      <c:manualLayout>
                        <c:x val="9.0702947845804991E-3"/>
                        <c:y val="-7.498295036923065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7-63FA-4997-8DD2-24EF6E45ACD7}"/>
                      </c:ext>
                    </c:extLst>
                  </c15:dLbl>
                </c15:categoryFilterException>
                <c15:categoryFilterException>
                  <c15:sqref>'2026.02'!$B$28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D-7CEB-4971-B942-A9366766F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'2026.02'!$B$1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6-4D9F-B2A6-0B21434F35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66-4D9F-B2A6-0B21434F35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366-4D9F-B2A6-0B21434F35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366-4D9F-B2A6-0B21434F3592}"/>
              </c:ext>
            </c:extLst>
          </c:dPt>
          <c:dPt>
            <c:idx val="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366-4D9F-B2A6-0B21434F35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366-4D9F-B2A6-0B21434F35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366-4D9F-B2A6-0B21434F359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366-4D9F-B2A6-0B21434F3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'2026.02'!$A$2:$A$27</c15:sqref>
                  </c15:fullRef>
                </c:ext>
              </c:extLst>
              <c:f>'2026.02'!$A$3:$A$10</c:f>
              <c:strCache>
                <c:ptCount val="8"/>
                <c:pt idx="0">
                  <c:v>디펜스</c:v>
                </c:pt>
                <c:pt idx="1">
                  <c:v>캠페인</c:v>
                </c:pt>
                <c:pt idx="2">
                  <c:v>대전</c:v>
                </c:pt>
                <c:pt idx="3">
                  <c:v>RPG</c:v>
                </c:pt>
                <c:pt idx="4">
                  <c:v>키우기</c:v>
                </c:pt>
                <c:pt idx="5">
                  <c:v>컴까기</c:v>
                </c:pt>
                <c:pt idx="6">
                  <c:v>서바이벌</c:v>
                </c:pt>
                <c:pt idx="7">
                  <c:v>컨트롤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'2026.02'!$B$2:$B$27</c15:sqref>
                  </c15:fullRef>
                </c:ext>
              </c:extLst>
              <c:f>'2026.02'!$B$3:$B$10</c:f>
              <c:numCache>
                <c:formatCode>General</c:formatCode>
                <c:ptCount val="8"/>
                <c:pt idx="0">
                  <c:v>12</c:v>
                </c:pt>
                <c:pt idx="1">
                  <c:v>10</c:v>
                </c:pt>
                <c:pt idx="2">
                  <c:v>10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'2026.02'!$B$2</c15:sqref>
                  <c15:bubble3D val="0"/>
                </c15:categoryFilterException>
                <c15:categoryFilterException>
                  <c15:sqref>'2026.02'!$B$11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'2026.02'!$B$12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'2026.02'!$B$13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'2026.02'!$B$14</c15:sqref>
                  <c15:spPr xmlns:c15="http://schemas.microsoft.com/office/drawing/2012/chart"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'2026.02'!$B$15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'2026.02'!$B$16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'2026.02'!$B$17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'2026.02'!$B$20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'2026.02'!$B$21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'2026.02'!$B$22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'2026.02'!$B$23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'2026.02'!$B$24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'2026.02'!$B$26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'2026.02'!$B$27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C-5366-4D9F-B2A6-0B21434F3592}"/>
            </c:ext>
          </c:extLst>
        </c:ser>
        <c:ser>
          <c:idx val="0"/>
          <c:order val="1"/>
          <c:tx>
            <c:strRef>
              <c:f>'2026.02'!$B$1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5366-4D9F-B2A6-0B21434F35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5366-4D9F-B2A6-0B21434F35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5366-4D9F-B2A6-0B21434F35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5366-4D9F-B2A6-0B21434F3592}"/>
              </c:ext>
            </c:extLst>
          </c:dPt>
          <c:dPt>
            <c:idx val="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5366-4D9F-B2A6-0B21434F35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5366-4D9F-B2A6-0B21434F35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5366-4D9F-B2A6-0B21434F359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5366-4D9F-B2A6-0B21434F3592}"/>
              </c:ext>
            </c:extLst>
          </c:dPt>
          <c:dLbls>
            <c:dLbl>
              <c:idx val="4"/>
              <c:layout>
                <c:manualLayout>
                  <c:x val="-1.0581869745679823E-3"/>
                  <c:y val="-6.1864903949455466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366-4D9F-B2A6-0B21434F3592}"/>
                </c:ext>
              </c:extLst>
            </c:dLbl>
            <c:dLbl>
              <c:idx val="6"/>
              <c:layout>
                <c:manualLayout>
                  <c:x val="-4.0963481319880597E-2"/>
                  <c:y val="-7.824984890880368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A-5366-4D9F-B2A6-0B21434F3592}"/>
                </c:ext>
              </c:extLst>
            </c:dLbl>
            <c:dLbl>
              <c:idx val="7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366-4D9F-B2A6-0B21434F35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'2026.02'!$A$2:$A$27</c15:sqref>
                  </c15:fullRef>
                </c:ext>
              </c:extLst>
              <c:f>'2026.02'!$A$3:$A$10</c:f>
              <c:strCache>
                <c:ptCount val="8"/>
                <c:pt idx="0">
                  <c:v>디펜스</c:v>
                </c:pt>
                <c:pt idx="1">
                  <c:v>캠페인</c:v>
                </c:pt>
                <c:pt idx="2">
                  <c:v>대전</c:v>
                </c:pt>
                <c:pt idx="3">
                  <c:v>RPG</c:v>
                </c:pt>
                <c:pt idx="4">
                  <c:v>키우기</c:v>
                </c:pt>
                <c:pt idx="5">
                  <c:v>컴까기</c:v>
                </c:pt>
                <c:pt idx="6">
                  <c:v>서바이벌</c:v>
                </c:pt>
                <c:pt idx="7">
                  <c:v>컨트롤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'2026.02'!$B$2:$B$27</c15:sqref>
                  </c15:fullRef>
                </c:ext>
              </c:extLst>
              <c:f>'2026.02'!$B$3:$B$10</c:f>
              <c:numCache>
                <c:formatCode>General</c:formatCode>
                <c:ptCount val="8"/>
                <c:pt idx="0">
                  <c:v>12</c:v>
                </c:pt>
                <c:pt idx="1">
                  <c:v>10</c:v>
                </c:pt>
                <c:pt idx="2">
                  <c:v>10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'2026.02'!$B$2</c15:sqref>
                  <c15:bubble3D val="0"/>
                </c15:categoryFilterException>
                <c15:categoryFilterException>
                  <c15:sqref>'2026.02'!$B$11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7"/>
                    <c:layout>
                      <c:manualLayout>
                        <c:x val="-1.6494883092620057E-3"/>
                        <c:y val="-1.0148862047902885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5-ECF0-4A52-8843-FF2088A9CB92}"/>
                      </c:ext>
                    </c:extLst>
                  </c15:dLbl>
                </c15:categoryFilterException>
                <c15:categoryFilterException>
                  <c15:sqref>'2026.02'!$B$12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7"/>
                    <c:layout>
                      <c:manualLayout>
                        <c:x val="-9.9817749426393335E-6"/>
                        <c:y val="-8.1784095307763316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7-ECF0-4A52-8843-FF2088A9CB92}"/>
                      </c:ext>
                    </c:extLst>
                  </c15:dLbl>
                </c15:categoryFilterException>
                <c15:categoryFilterException>
                  <c15:sqref>'2026.02'!$B$13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7"/>
                    <c:layout>
                      <c:manualLayout>
                        <c:x val="1.2726763051794599E-4"/>
                        <c:y val="-2.5809233180994779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ECF0-4A52-8843-FF2088A9CB92}"/>
                      </c:ext>
                    </c:extLst>
                  </c15:dLbl>
                </c15:categoryFilterException>
                <c15:categoryFilterException>
                  <c15:sqref>'2026.02'!$B$14</c15:sqref>
                  <c15:spPr xmlns:c15="http://schemas.microsoft.com/office/drawing/2012/chart"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7"/>
                    <c:layout>
                      <c:manualLayout>
                        <c:x val="-1.4233535745508193E-3"/>
                        <c:y val="-4.2789388931675524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B-ECF0-4A52-8843-FF2088A9CB92}"/>
                      </c:ext>
                    </c:extLst>
                  </c15:dLbl>
                </c15:categoryFilterException>
                <c15:categoryFilterException>
                  <c15:sqref>'2026.02'!$B$15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7"/>
                    <c:layout>
                      <c:manualLayout>
                        <c:x val="-1.8145678539076927E-2"/>
                        <c:y val="-7.0696295026584838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D-ECF0-4A52-8843-FF2088A9CB92}"/>
                      </c:ext>
                    </c:extLst>
                  </c15:dLbl>
                </c15:categoryFilterException>
                <c15:categoryFilterException>
                  <c15:sqref>'2026.02'!$B$16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'2026.02'!$B$17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7"/>
                    <c:layout>
                      <c:manualLayout>
                        <c:x val="-4.5274479203863691E-3"/>
                        <c:y val="-8.8149943627492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ECF0-4A52-8843-FF2088A9CB92}"/>
                      </c:ext>
                    </c:extLst>
                  </c15:dLbl>
                </c15:categoryFilterException>
                <c15:categoryFilterException>
                  <c15:sqref>'2026.02'!$B$18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7"/>
                    <c:layout>
                      <c:manualLayout>
                        <c:x val="-8.8741544159194104E-3"/>
                        <c:y val="-2.9437634945965281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ECF0-4A52-8843-FF2088A9CB92}"/>
                      </c:ext>
                    </c:extLst>
                  </c15:dLbl>
                </c15:categoryFilterException>
                <c15:categoryFilterException>
                  <c15:sqref>'2026.02'!$B$20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7"/>
                    <c:layout>
                      <c:manualLayout>
                        <c:x val="-2.8676213442195165E-3"/>
                        <c:y val="-3.3156570716715477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ECF0-4A52-8843-FF2088A9CB92}"/>
                      </c:ext>
                    </c:extLst>
                  </c15:dLbl>
                </c15:categoryFilterException>
                <c15:categoryFilterException>
                  <c15:sqref>'2026.02'!$B$21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7"/>
                    <c:layout>
                      <c:manualLayout>
                        <c:x val="-6.2319072902249785E-2"/>
                        <c:y val="-7.0619341121672077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ECF0-4A52-8843-FF2088A9CB92}"/>
                      </c:ext>
                    </c:extLst>
                  </c15:dLbl>
                </c15:categoryFilterException>
                <c15:categoryFilterException>
                  <c15:sqref>'2026.02'!$B$22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7"/>
                    <c:layout>
                      <c:manualLayout>
                        <c:x val="-7.7239925150947611E-6"/>
                        <c:y val="-2.8124891862159529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ECF0-4A52-8843-FF2088A9CB92}"/>
                      </c:ext>
                    </c:extLst>
                  </c15:dLbl>
                </c15:categoryFilterException>
                <c15:categoryFilterException>
                  <c15:sqref>'2026.02'!$B$23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7"/>
                    <c:layout>
                      <c:manualLayout>
                        <c:x val="-1.5117157974300554E-3"/>
                        <c:y val="-4.089979111048944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ECF0-4A52-8843-FF2088A9CB92}"/>
                      </c:ext>
                    </c:extLst>
                  </c15:dLbl>
                </c15:categoryFilterException>
                <c15:categoryFilterException>
                  <c15:sqref>'2026.02'!$B$24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'2026.02'!$B$25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7"/>
                    <c:layout>
                      <c:manualLayout>
                        <c:x val="-5.5981358797633468E-2"/>
                        <c:y val="-9.322316753136704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ECF0-4A52-8843-FF2088A9CB92}"/>
                      </c:ext>
                    </c:extLst>
                  </c15:dLbl>
                </c15:categoryFilterException>
                <c15:categoryFilterException>
                  <c15:sqref>'2026.02'!$B$26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7"/>
                    <c:layout>
                      <c:manualLayout>
                        <c:x val="-3.0234315948601664E-3"/>
                        <c:y val="-8.861621407272712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ECF0-4A52-8843-FF2088A9CB92}"/>
                      </c:ext>
                    </c:extLst>
                  </c15:dLbl>
                </c15:categoryFilterException>
                <c15:categoryFilterException>
                  <c15:sqref>'2026.02'!$B$27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9-5366-4D9F-B2A6-0B21434F3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'2026.03'!$B$1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DD-4EE1-9D0E-A61CF90D1E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DD-4EE1-9D0E-A61CF90D1E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DD-4EE1-9D0E-A61CF90D1E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8DD-4EE1-9D0E-A61CF90D1E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8DD-4EE1-9D0E-A61CF90D1E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8DD-4EE1-9D0E-A61CF90D1E53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8DD-4EE1-9D0E-A61CF90D1E5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8DD-4EE1-9D0E-A61CF90D1E53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8DD-4EE1-9D0E-A61CF90D1E53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8DD-4EE1-9D0E-A61CF90D1E5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8DD-4EE1-9D0E-A61CF90D1E5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D8DD-4EE1-9D0E-A61CF90D1E5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D8DD-4EE1-9D0E-A61CF90D1E5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D8DD-4EE1-9D0E-A61CF90D1E5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D8DD-4EE1-9D0E-A61CF90D1E53}"/>
              </c:ext>
            </c:extLst>
          </c:dPt>
          <c:dPt>
            <c:idx val="1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394-453B-B499-E52F87FE67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'2026.03'!$A$2:$A$28</c15:sqref>
                  </c15:fullRef>
                </c:ext>
              </c:extLst>
              <c:f>'2026.03'!$A$2:$A$17</c:f>
              <c:strCache>
                <c:ptCount val="16"/>
                <c:pt idx="0">
                  <c:v>맞히기</c:v>
                </c:pt>
                <c:pt idx="1">
                  <c:v>디펜스</c:v>
                </c:pt>
                <c:pt idx="2">
                  <c:v>컴까기</c:v>
                </c:pt>
                <c:pt idx="3">
                  <c:v>컨트롤</c:v>
                </c:pt>
                <c:pt idx="4">
                  <c:v>RPG</c:v>
                </c:pt>
                <c:pt idx="5">
                  <c:v>서바이벌</c:v>
                </c:pt>
                <c:pt idx="6">
                  <c:v>기타</c:v>
                </c:pt>
                <c:pt idx="7">
                  <c:v>대전</c:v>
                </c:pt>
                <c:pt idx="8">
                  <c:v>어드벤처</c:v>
                </c:pt>
                <c:pt idx="9">
                  <c:v>공포</c:v>
                </c:pt>
                <c:pt idx="10">
                  <c:v>퍼즐</c:v>
                </c:pt>
                <c:pt idx="11">
                  <c:v>캠페인</c:v>
                </c:pt>
                <c:pt idx="12">
                  <c:v>키우기</c:v>
                </c:pt>
                <c:pt idx="13">
                  <c:v>디플로메시</c:v>
                </c:pt>
                <c:pt idx="14">
                  <c:v>병맛</c:v>
                </c:pt>
                <c:pt idx="15">
                  <c:v>리듬게임</c:v>
                </c:pt>
                <c:pt idx="16">
                  <c:v>AOS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'2026.03'!$B$2:$B$27</c15:sqref>
                  </c15:fullRef>
                </c:ext>
              </c:extLst>
              <c:f>'2026.03'!$B$2:$B$17</c:f>
              <c:numCache>
                <c:formatCode>General</c:formatCode>
                <c:ptCount val="16"/>
                <c:pt idx="0">
                  <c:v>39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'2026.03'!$B$18</c15:sqref>
                  <c15:spPr xmlns:c15="http://schemas.microsoft.com/office/drawing/2012/chart">
                    <a:solidFill>
                      <a:schemeClr val="accent6">
                        <a:lumMod val="6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'2026.03'!$B$19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'2026.03'!$B$25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'2026.03'!$B$27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6-D8DD-4EE1-9D0E-A61CF90D1E53}"/>
            </c:ext>
          </c:extLst>
        </c:ser>
        <c:ser>
          <c:idx val="0"/>
          <c:order val="1"/>
          <c:tx>
            <c:strRef>
              <c:f>'2026.03'!$B$1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8-D8DD-4EE1-9D0E-A61CF90D1E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A-D8DD-4EE1-9D0E-A61CF90D1E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C-D8DD-4EE1-9D0E-A61CF90D1E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E-D8DD-4EE1-9D0E-A61CF90D1E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0-D8DD-4EE1-9D0E-A61CF90D1E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2-D8DD-4EE1-9D0E-A61CF90D1E53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D8DD-4EE1-9D0E-A61CF90D1E5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D8DD-4EE1-9D0E-A61CF90D1E53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D8DD-4EE1-9D0E-A61CF90D1E53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D8DD-4EE1-9D0E-A61CF90D1E5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D8DD-4EE1-9D0E-A61CF90D1E5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D-D8DD-4EE1-9D0E-A61CF90D1E5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F-D8DD-4EE1-9D0E-A61CF90D1E5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1-D8DD-4EE1-9D0E-A61CF90D1E5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3-D8DD-4EE1-9D0E-A61CF90D1E53}"/>
              </c:ext>
            </c:extLst>
          </c:dPt>
          <c:dPt>
            <c:idx val="1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F-D394-453B-B499-E52F87FE673B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D8DD-4EE1-9D0E-A61CF90D1E53}"/>
                </c:ext>
              </c:extLst>
            </c:dLbl>
            <c:dLbl>
              <c:idx val="6"/>
              <c:layout>
                <c:manualLayout>
                  <c:x val="-3.3948137435201552E-3"/>
                  <c:y val="-5.0410871143007959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D8DD-4EE1-9D0E-A61CF90D1E53}"/>
                </c:ext>
              </c:extLst>
            </c:dLbl>
            <c:dLbl>
              <c:idx val="7"/>
              <c:layout>
                <c:manualLayout>
                  <c:x val="-3.6870391201099862E-3"/>
                  <c:y val="-4.047361743408880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8DD-4EE1-9D0E-A61CF90D1E53}"/>
                </c:ext>
              </c:extLst>
            </c:dLbl>
            <c:dLbl>
              <c:idx val="8"/>
              <c:layout>
                <c:manualLayout>
                  <c:x val="-4.5533594015033834E-3"/>
                  <c:y val="-7.9384240226264941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D8DD-4EE1-9D0E-A61CF90D1E53}"/>
                </c:ext>
              </c:extLst>
            </c:dLbl>
            <c:dLbl>
              <c:idx val="9"/>
              <c:layout>
                <c:manualLayout>
                  <c:x val="-4.4552764237803608E-3"/>
                  <c:y val="-1.8413493882368122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D8DD-4EE1-9D0E-A61CF90D1E53}"/>
                </c:ext>
              </c:extLst>
            </c:dLbl>
            <c:dLbl>
              <c:idx val="10"/>
              <c:layout>
                <c:manualLayout>
                  <c:x val="-1.4699353057058345E-3"/>
                  <c:y val="1.530253339317631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8DD-4EE1-9D0E-A61CF90D1E53}"/>
                </c:ext>
              </c:extLst>
            </c:dLbl>
            <c:dLbl>
              <c:idx val="11"/>
              <c:layout>
                <c:manualLayout>
                  <c:x val="-7.8609221466364329E-2"/>
                  <c:y val="-6.952964488783207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D8DD-4EE1-9D0E-A61CF90D1E53}"/>
                </c:ext>
              </c:extLst>
            </c:dLbl>
            <c:dLbl>
              <c:idx val="12"/>
              <c:layout>
                <c:manualLayout>
                  <c:x val="-6.6515495086923657E-2"/>
                  <c:y val="-8.997954044307679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D8DD-4EE1-9D0E-A61CF90D1E53}"/>
                </c:ext>
              </c:extLst>
            </c:dLbl>
            <c:dLbl>
              <c:idx val="13"/>
              <c:layout>
                <c:manualLayout>
                  <c:x val="-2.7210884353741496E-2"/>
                  <c:y val="-0.1158827414797200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D8DD-4EE1-9D0E-A61CF90D1E53}"/>
                </c:ext>
              </c:extLst>
            </c:dLbl>
            <c:dLbl>
              <c:idx val="15"/>
              <c:layout>
                <c:manualLayout>
                  <c:x val="4.5351473922902496E-3"/>
                  <c:y val="-0.1104294359983214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D394-453B-B499-E52F87FE67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'2026.03'!$A$2:$A$28</c15:sqref>
                  </c15:fullRef>
                </c:ext>
              </c:extLst>
              <c:f>'2026.03'!$A$2:$A$17</c:f>
              <c:strCache>
                <c:ptCount val="16"/>
                <c:pt idx="0">
                  <c:v>맞히기</c:v>
                </c:pt>
                <c:pt idx="1">
                  <c:v>디펜스</c:v>
                </c:pt>
                <c:pt idx="2">
                  <c:v>컴까기</c:v>
                </c:pt>
                <c:pt idx="3">
                  <c:v>컨트롤</c:v>
                </c:pt>
                <c:pt idx="4">
                  <c:v>RPG</c:v>
                </c:pt>
                <c:pt idx="5">
                  <c:v>서바이벌</c:v>
                </c:pt>
                <c:pt idx="6">
                  <c:v>기타</c:v>
                </c:pt>
                <c:pt idx="7">
                  <c:v>대전</c:v>
                </c:pt>
                <c:pt idx="8">
                  <c:v>어드벤처</c:v>
                </c:pt>
                <c:pt idx="9">
                  <c:v>공포</c:v>
                </c:pt>
                <c:pt idx="10">
                  <c:v>퍼즐</c:v>
                </c:pt>
                <c:pt idx="11">
                  <c:v>캠페인</c:v>
                </c:pt>
                <c:pt idx="12">
                  <c:v>키우기</c:v>
                </c:pt>
                <c:pt idx="13">
                  <c:v>디플로메시</c:v>
                </c:pt>
                <c:pt idx="14">
                  <c:v>병맛</c:v>
                </c:pt>
                <c:pt idx="15">
                  <c:v>리듬게임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'2026.03'!$B$2:$B$28</c15:sqref>
                  </c15:fullRef>
                </c:ext>
              </c:extLst>
              <c:f>'2026.03'!$B$2:$B$17</c:f>
              <c:numCache>
                <c:formatCode>General</c:formatCode>
                <c:ptCount val="16"/>
                <c:pt idx="0">
                  <c:v>39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'2026.03'!$B$18</c15:sqref>
                  <c15:spPr xmlns:c15="http://schemas.microsoft.com/office/drawing/2012/chart">
                    <a:solidFill>
                      <a:schemeClr val="accent6">
                        <a:lumMod val="6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6.953892668178388E-2"/>
                        <c:y val="-7.7709603109929942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8524-441A-80CC-5D5AF755D407}"/>
                      </c:ext>
                    </c:extLst>
                  </c15:dLbl>
                </c15:categoryFilterException>
                <c15:categoryFilterException>
                  <c15:sqref>'2026.03'!$B$19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1.9763005814749348E-2"/>
                        <c:y val="-0.11991872427862055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B-8524-441A-80CC-5D5AF755D407}"/>
                      </c:ext>
                    </c:extLst>
                  </c15:dLbl>
                </c15:categoryFilterException>
                <c15:categoryFilterException>
                  <c15:sqref>'2026.03'!$B$25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1.1085787783854144E-16"/>
                        <c:y val="-8.4526234961678201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D-8524-441A-80CC-5D5AF755D407}"/>
                      </c:ext>
                    </c:extLst>
                  </c15:dLbl>
                </c15:categoryFilterException>
                <c15:categoryFilterException>
                  <c15:sqref>'2026.03'!$B$27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9.0702947845804991E-3"/>
                        <c:y val="-7.498295036923065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F-8524-441A-80CC-5D5AF755D407}"/>
                      </c:ext>
                    </c:extLst>
                  </c15:dLbl>
                </c15:categoryFilterException>
                <c15:categoryFilterException>
                  <c15:sqref>'2026.03'!$B$28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D-D8DD-4EE1-9D0E-A61CF90D1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'2026.03'!$B$1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E6-4EBC-B202-A112CA50A7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E6-4EBC-B202-A112CA50A7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E6-4EBC-B202-A112CA50A7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3E6-4EBC-B202-A112CA50A7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3E6-4EBC-B202-A112CA50A755}"/>
              </c:ext>
            </c:extLst>
          </c:dPt>
          <c:dPt>
            <c:idx val="5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3E6-4EBC-B202-A112CA50A7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3E6-4EBC-B202-A112CA50A755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3E6-4EBC-B202-A112CA50A755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33E6-4EBC-B202-A112CA50A755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33E6-4EBC-B202-A112CA50A75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33E6-4EBC-B202-A112CA50A75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33E6-4EBC-B202-A112CA50A755}"/>
              </c:ext>
            </c:extLst>
          </c:dPt>
          <c:dPt>
            <c:idx val="12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33E6-4EBC-B202-A112CA50A755}"/>
              </c:ext>
            </c:extLst>
          </c:dPt>
          <c:dPt>
            <c:idx val="13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33E6-4EBC-B202-A112CA50A755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33E6-4EBC-B202-A112CA50A7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'2026.03'!$A$2:$A$27</c15:sqref>
                  </c15:fullRef>
                </c:ext>
              </c:extLst>
              <c:f>'2026.03'!$A$3:$A$17</c:f>
              <c:strCache>
                <c:ptCount val="15"/>
                <c:pt idx="0">
                  <c:v>디펜스</c:v>
                </c:pt>
                <c:pt idx="1">
                  <c:v>컴까기</c:v>
                </c:pt>
                <c:pt idx="2">
                  <c:v>컨트롤</c:v>
                </c:pt>
                <c:pt idx="3">
                  <c:v>RPG</c:v>
                </c:pt>
                <c:pt idx="4">
                  <c:v>서바이벌</c:v>
                </c:pt>
                <c:pt idx="5">
                  <c:v>기타</c:v>
                </c:pt>
                <c:pt idx="6">
                  <c:v>대전</c:v>
                </c:pt>
                <c:pt idx="7">
                  <c:v>어드벤처</c:v>
                </c:pt>
                <c:pt idx="8">
                  <c:v>공포</c:v>
                </c:pt>
                <c:pt idx="9">
                  <c:v>퍼즐</c:v>
                </c:pt>
                <c:pt idx="10">
                  <c:v>캠페인</c:v>
                </c:pt>
                <c:pt idx="11">
                  <c:v>키우기</c:v>
                </c:pt>
                <c:pt idx="12">
                  <c:v>디플로메시</c:v>
                </c:pt>
                <c:pt idx="13">
                  <c:v>병맛</c:v>
                </c:pt>
                <c:pt idx="14">
                  <c:v>리듬게임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'2026.03'!$B$2:$B$27</c15:sqref>
                  </c15:fullRef>
                </c:ext>
              </c:extLst>
              <c:f>'2026.03'!$B$3:$B$17</c:f>
              <c:numCache>
                <c:formatCode>General</c:formatCode>
                <c:ptCount val="15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'2026.03'!$B$2</c15:sqref>
                  <c15:bubble3D val="0"/>
                </c15:categoryFilterException>
                <c15:categoryFilterException>
                  <c15:sqref>'2026.03'!$B$18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'2026.03'!$B$19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'2026.03'!$B$20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'2026.03'!$B$21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'2026.03'!$B$22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'2026.03'!$B$23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'2026.03'!$B$24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'2026.03'!$B$25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'2026.03'!$B$26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'2026.03'!$B$27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0-33E6-4EBC-B202-A112CA50A755}"/>
            </c:ext>
          </c:extLst>
        </c:ser>
        <c:ser>
          <c:idx val="0"/>
          <c:order val="1"/>
          <c:tx>
            <c:strRef>
              <c:f>'2026.03'!$B$1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33E6-4EBC-B202-A112CA50A7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33E6-4EBC-B202-A112CA50A7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33E6-4EBC-B202-A112CA50A7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33E6-4EBC-B202-A112CA50A7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33E6-4EBC-B202-A112CA50A755}"/>
              </c:ext>
            </c:extLst>
          </c:dPt>
          <c:dPt>
            <c:idx val="5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33E6-4EBC-B202-A112CA50A75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33E6-4EBC-B202-A112CA50A755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33E6-4EBC-B202-A112CA50A755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33E6-4EBC-B202-A112CA50A755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33E6-4EBC-B202-A112CA50A75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33E6-4EBC-B202-A112CA50A75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33E6-4EBC-B202-A112CA50A755}"/>
              </c:ext>
            </c:extLst>
          </c:dPt>
          <c:dPt>
            <c:idx val="12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33E6-4EBC-B202-A112CA50A755}"/>
              </c:ext>
            </c:extLst>
          </c:dPt>
          <c:dPt>
            <c:idx val="13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33E6-4EBC-B202-A112CA50A755}"/>
              </c:ext>
            </c:extLst>
          </c:dPt>
          <c:dPt>
            <c:idx val="14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33E6-4EBC-B202-A112CA50A755}"/>
              </c:ext>
            </c:extLst>
          </c:dPt>
          <c:dLbls>
            <c:dLbl>
              <c:idx val="2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3E6-4EBC-B202-A112CA50A755}"/>
                </c:ext>
              </c:extLst>
            </c:dLbl>
            <c:dLbl>
              <c:idx val="4"/>
              <c:layout>
                <c:manualLayout>
                  <c:x val="-4.7438979567900842E-3"/>
                  <c:y val="-1.597724015331940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A-33E6-4EBC-B202-A112CA50A755}"/>
                </c:ext>
              </c:extLst>
            </c:dLbl>
            <c:dLbl>
              <c:idx val="5"/>
              <c:layout>
                <c:manualLayout>
                  <c:x val="-1.4233535745508193E-3"/>
                  <c:y val="-4.278938893167552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3E6-4EBC-B202-A112CA50A755}"/>
                </c:ext>
              </c:extLst>
            </c:dLbl>
            <c:dLbl>
              <c:idx val="7"/>
              <c:layout>
                <c:manualLayout>
                  <c:x val="-9.9817749425839985E-6"/>
                  <c:y val="-3.854434999400463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33E6-4EBC-B202-A112CA50A755}"/>
                </c:ext>
              </c:extLst>
            </c:dLbl>
            <c:dLbl>
              <c:idx val="9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33E6-4EBC-B202-A112CA50A755}"/>
                </c:ext>
              </c:extLst>
            </c:dLbl>
            <c:dLbl>
              <c:idx val="11"/>
              <c:layout>
                <c:manualLayout>
                  <c:x val="-1.0581869745679823E-3"/>
                  <c:y val="-6.1864903949455466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33E6-4EBC-B202-A112CA50A755}"/>
                </c:ext>
              </c:extLst>
            </c:dLbl>
            <c:dLbl>
              <c:idx val="12"/>
              <c:layout>
                <c:manualLayout>
                  <c:x val="-9.3707596023783743E-2"/>
                  <c:y val="-6.744672777913243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33E6-4EBC-B202-A112CA50A755}"/>
                </c:ext>
              </c:extLst>
            </c:dLbl>
            <c:dLbl>
              <c:idx val="14"/>
              <c:layout>
                <c:manualLayout>
                  <c:x val="-3.1611330597931448E-3"/>
                  <c:y val="-1.24061765920103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33E6-4EBC-B202-A112CA50A7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'2026.03'!$A$2:$A$27</c15:sqref>
                  </c15:fullRef>
                </c:ext>
              </c:extLst>
              <c:f>'2026.03'!$A$3:$A$17</c:f>
              <c:strCache>
                <c:ptCount val="15"/>
                <c:pt idx="0">
                  <c:v>디펜스</c:v>
                </c:pt>
                <c:pt idx="1">
                  <c:v>컴까기</c:v>
                </c:pt>
                <c:pt idx="2">
                  <c:v>컨트롤</c:v>
                </c:pt>
                <c:pt idx="3">
                  <c:v>RPG</c:v>
                </c:pt>
                <c:pt idx="4">
                  <c:v>서바이벌</c:v>
                </c:pt>
                <c:pt idx="5">
                  <c:v>기타</c:v>
                </c:pt>
                <c:pt idx="6">
                  <c:v>대전</c:v>
                </c:pt>
                <c:pt idx="7">
                  <c:v>어드벤처</c:v>
                </c:pt>
                <c:pt idx="8">
                  <c:v>공포</c:v>
                </c:pt>
                <c:pt idx="9">
                  <c:v>퍼즐</c:v>
                </c:pt>
                <c:pt idx="10">
                  <c:v>캠페인</c:v>
                </c:pt>
                <c:pt idx="11">
                  <c:v>키우기</c:v>
                </c:pt>
                <c:pt idx="12">
                  <c:v>디플로메시</c:v>
                </c:pt>
                <c:pt idx="13">
                  <c:v>병맛</c:v>
                </c:pt>
                <c:pt idx="14">
                  <c:v>리듬게임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'2026.03'!$B$2:$B$27</c15:sqref>
                  </c15:fullRef>
                </c:ext>
              </c:extLst>
              <c:f>'2026.03'!$B$3:$B$17</c:f>
              <c:numCache>
                <c:formatCode>General</c:formatCode>
                <c:ptCount val="15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'2026.03'!$B$2</c15:sqref>
                  <c15:bubble3D val="0"/>
                </c15:categoryFilterException>
                <c15:categoryFilterException>
                  <c15:sqref>'2026.03'!$B$18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1.2726763051794599E-4"/>
                        <c:y val="-2.5809233180994779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AE23-425C-9FCE-CD29EBC9BC60}"/>
                      </c:ext>
                    </c:extLst>
                  </c15:dLbl>
                </c15:categoryFilterException>
                <c15:categoryFilterException>
                  <c15:sqref>'2026.03'!$B$19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1.8145678539076927E-2"/>
                        <c:y val="-7.0696295026584838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AE23-425C-9FCE-CD29EBC9BC60}"/>
                      </c:ext>
                    </c:extLst>
                  </c15:dLbl>
                </c15:categoryFilterException>
                <c15:categoryFilterException>
                  <c15:sqref>'2026.03'!$B$20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4.5274479203863691E-3"/>
                        <c:y val="-8.8149943627492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AE23-425C-9FCE-CD29EBC9BC60}"/>
                      </c:ext>
                    </c:extLst>
                  </c15:dLbl>
                </c15:categoryFilterException>
                <c15:categoryFilterException>
                  <c15:sqref>'2026.03'!$B$21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'2026.03'!$B$22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8.8741544159194104E-3"/>
                        <c:y val="-2.9437634945965281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AE23-425C-9FCE-CD29EBC9BC60}"/>
                      </c:ext>
                    </c:extLst>
                  </c15:dLbl>
                </c15:categoryFilterException>
                <c15:categoryFilterException>
                  <c15:sqref>'2026.03'!$B$23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6.2319072902249785E-2"/>
                        <c:y val="-7.0619341121672077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AE23-425C-9FCE-CD29EBC9BC60}"/>
                      </c:ext>
                    </c:extLst>
                  </c15:dLbl>
                </c15:categoryFilterException>
                <c15:categoryFilterException>
                  <c15:sqref>'2026.03'!$B$24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7.7239925150947611E-6"/>
                        <c:y val="-2.8124891862159529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F-AE23-425C-9FCE-CD29EBC9BC60}"/>
                      </c:ext>
                    </c:extLst>
                  </c15:dLbl>
                </c15:categoryFilterException>
                <c15:categoryFilterException>
                  <c15:sqref>'2026.03'!$B$25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1.5117157974300554E-3"/>
                        <c:y val="-4.089979111048944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AE23-425C-9FCE-CD29EBC9BC60}"/>
                      </c:ext>
                    </c:extLst>
                  </c15:dLbl>
                </c15:categoryFilterException>
                <c15:categoryFilterException>
                  <c15:sqref>'2026.03'!$B$26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3.0234315948601664E-3"/>
                        <c:y val="-8.861621407272712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AE23-425C-9FCE-CD29EBC9BC60}"/>
                      </c:ext>
                    </c:extLst>
                  </c15:dLbl>
                </c15:categoryFilterException>
                <c15:categoryFilterException>
                  <c15:sqref>'2026.03'!$B$27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1-33E6-4EBC-B202-A112CA50A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'2026.04'!$B$1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548-4184-9352-246C05E160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548-4184-9352-246C05E160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548-4184-9352-246C05E160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548-4184-9352-246C05E160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548-4184-9352-246C05E160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548-4184-9352-246C05E16071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548-4184-9352-246C05E1607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548-4184-9352-246C05E16071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548-4184-9352-246C05E16071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548-4184-9352-246C05E1607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548-4184-9352-246C05E1607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548-4184-9352-246C05E1607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548-4184-9352-246C05E1607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548-4184-9352-246C05E1607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548-4184-9352-246C05E16071}"/>
              </c:ext>
            </c:extLst>
          </c:dPt>
          <c:dPt>
            <c:idx val="1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548-4184-9352-246C05E1607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5548-4184-9352-246C05E160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'2026.04'!$A$2:$A$28</c15:sqref>
                  </c15:fullRef>
                </c:ext>
              </c:extLst>
              <c:f>'2026.04'!$A$2:$A$18</c:f>
              <c:strCache>
                <c:ptCount val="17"/>
                <c:pt idx="0">
                  <c:v>맞히기</c:v>
                </c:pt>
                <c:pt idx="1">
                  <c:v>RPG</c:v>
                </c:pt>
                <c:pt idx="2">
                  <c:v>컨트롤</c:v>
                </c:pt>
                <c:pt idx="3">
                  <c:v>디펜스</c:v>
                </c:pt>
                <c:pt idx="4">
                  <c:v>호환요청</c:v>
                </c:pt>
                <c:pt idx="5">
                  <c:v>퍼즐</c:v>
                </c:pt>
                <c:pt idx="6">
                  <c:v>서바이벌</c:v>
                </c:pt>
                <c:pt idx="7">
                  <c:v>AOS</c:v>
                </c:pt>
                <c:pt idx="8">
                  <c:v>컴까기</c:v>
                </c:pt>
                <c:pt idx="9">
                  <c:v>기타</c:v>
                </c:pt>
                <c:pt idx="10">
                  <c:v>대전</c:v>
                </c:pt>
                <c:pt idx="11">
                  <c:v>공포</c:v>
                </c:pt>
                <c:pt idx="12">
                  <c:v>캠페인</c:v>
                </c:pt>
                <c:pt idx="13">
                  <c:v>디플로메시</c:v>
                </c:pt>
                <c:pt idx="14">
                  <c:v>키우기</c:v>
                </c:pt>
                <c:pt idx="15">
                  <c:v>오펜스</c:v>
                </c:pt>
                <c:pt idx="16">
                  <c:v>탈출</c:v>
                </c:pt>
                <c:pt idx="17">
                  <c:v>슈팅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'2026.04'!$B$2:$B$27</c15:sqref>
                  </c15:fullRef>
                </c:ext>
              </c:extLst>
              <c:f>'2026.04'!$B$2:$B$18</c:f>
              <c:numCache>
                <c:formatCode>General</c:formatCode>
                <c:ptCount val="17"/>
                <c:pt idx="0">
                  <c:v>38</c:v>
                </c:pt>
                <c:pt idx="1">
                  <c:v>13</c:v>
                </c:pt>
                <c:pt idx="2">
                  <c:v>11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'2026.04'!$B$22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'2026.04'!$B$26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0-5548-4184-9352-246C05E16071}"/>
            </c:ext>
          </c:extLst>
        </c:ser>
        <c:ser>
          <c:idx val="0"/>
          <c:order val="1"/>
          <c:tx>
            <c:strRef>
              <c:f>'2026.04'!$B$1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2-5548-4184-9352-246C05E160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5548-4184-9352-246C05E160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5548-4184-9352-246C05E160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5548-4184-9352-246C05E160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5548-4184-9352-246C05E160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5548-4184-9352-246C05E16071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5548-4184-9352-246C05E1607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5548-4184-9352-246C05E16071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5548-4184-9352-246C05E16071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5548-4184-9352-246C05E1607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5548-4184-9352-246C05E1607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5548-4184-9352-246C05E1607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5548-4184-9352-246C05E1607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5548-4184-9352-246C05E1607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5548-4184-9352-246C05E16071}"/>
              </c:ext>
            </c:extLst>
          </c:dPt>
          <c:dPt>
            <c:idx val="15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5548-4184-9352-246C05E1607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B-5548-4184-9352-246C05E16071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548-4184-9352-246C05E16071}"/>
                </c:ext>
              </c:extLst>
            </c:dLbl>
            <c:dLbl>
              <c:idx val="6"/>
              <c:layout>
                <c:manualLayout>
                  <c:x val="-3.3948137435201552E-3"/>
                  <c:y val="-5.0410871143007959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5548-4184-9352-246C05E16071}"/>
                </c:ext>
              </c:extLst>
            </c:dLbl>
            <c:dLbl>
              <c:idx val="7"/>
              <c:layout>
                <c:manualLayout>
                  <c:x val="-3.6870391201099862E-3"/>
                  <c:y val="-4.047361743408880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5548-4184-9352-246C05E16071}"/>
                </c:ext>
              </c:extLst>
            </c:dLbl>
            <c:dLbl>
              <c:idx val="8"/>
              <c:layout>
                <c:manualLayout>
                  <c:x val="-4.5533594015033834E-3"/>
                  <c:y val="-7.9384240226264941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5548-4184-9352-246C05E16071}"/>
                </c:ext>
              </c:extLst>
            </c:dLbl>
            <c:dLbl>
              <c:idx val="9"/>
              <c:layout>
                <c:manualLayout>
                  <c:x val="-4.4552764237803608E-3"/>
                  <c:y val="-1.8413493882368122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5548-4184-9352-246C05E16071}"/>
                </c:ext>
              </c:extLst>
            </c:dLbl>
            <c:dLbl>
              <c:idx val="10"/>
              <c:layout>
                <c:manualLayout>
                  <c:x val="-1.4699353057058345E-3"/>
                  <c:y val="1.530253339317631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5548-4184-9352-246C05E16071}"/>
                </c:ext>
              </c:extLst>
            </c:dLbl>
            <c:dLbl>
              <c:idx val="11"/>
              <c:layout>
                <c:manualLayout>
                  <c:x val="-1.5117157974300832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5548-4184-9352-246C05E16071}"/>
                </c:ext>
              </c:extLst>
            </c:dLbl>
            <c:dLbl>
              <c:idx val="12"/>
              <c:layout>
                <c:manualLayout>
                  <c:x val="-3.0234315948601664E-3"/>
                  <c:y val="-1.363326370349623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5548-4184-9352-246C05E16071}"/>
                </c:ext>
              </c:extLst>
            </c:dLbl>
            <c:dLbl>
              <c:idx val="13"/>
              <c:layout>
                <c:manualLayout>
                  <c:x val="-7.8609221466364329E-2"/>
                  <c:y val="-6.680299214713275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5548-4184-9352-246C05E16071}"/>
                </c:ext>
              </c:extLst>
            </c:dLbl>
            <c:dLbl>
              <c:idx val="14"/>
              <c:layout>
                <c:manualLayout>
                  <c:x val="-4.0816326530612242E-2"/>
                  <c:y val="-8.179958222097889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5548-4184-9352-246C05E16071}"/>
                </c:ext>
              </c:extLst>
            </c:dLbl>
            <c:dLbl>
              <c:idx val="15"/>
              <c:layout>
                <c:manualLayout>
                  <c:x val="-9.0702947845804436E-3"/>
                  <c:y val="-0.1022494777762236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5548-4184-9352-246C05E16071}"/>
                </c:ext>
              </c:extLst>
            </c:dLbl>
            <c:dLbl>
              <c:idx val="16"/>
              <c:layout>
                <c:manualLayout>
                  <c:x val="1.5117157974301385E-3"/>
                  <c:y val="-7.770960310992995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5548-4184-9352-246C05E160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'2026.04'!$A$2:$A$28</c15:sqref>
                  </c15:fullRef>
                </c:ext>
              </c:extLst>
              <c:f>'2026.04'!$A$2:$A$18</c:f>
              <c:strCache>
                <c:ptCount val="17"/>
                <c:pt idx="0">
                  <c:v>맞히기</c:v>
                </c:pt>
                <c:pt idx="1">
                  <c:v>RPG</c:v>
                </c:pt>
                <c:pt idx="2">
                  <c:v>컨트롤</c:v>
                </c:pt>
                <c:pt idx="3">
                  <c:v>디펜스</c:v>
                </c:pt>
                <c:pt idx="4">
                  <c:v>호환요청</c:v>
                </c:pt>
                <c:pt idx="5">
                  <c:v>퍼즐</c:v>
                </c:pt>
                <c:pt idx="6">
                  <c:v>서바이벌</c:v>
                </c:pt>
                <c:pt idx="7">
                  <c:v>AOS</c:v>
                </c:pt>
                <c:pt idx="8">
                  <c:v>컴까기</c:v>
                </c:pt>
                <c:pt idx="9">
                  <c:v>기타</c:v>
                </c:pt>
                <c:pt idx="10">
                  <c:v>대전</c:v>
                </c:pt>
                <c:pt idx="11">
                  <c:v>공포</c:v>
                </c:pt>
                <c:pt idx="12">
                  <c:v>캠페인</c:v>
                </c:pt>
                <c:pt idx="13">
                  <c:v>디플로메시</c:v>
                </c:pt>
                <c:pt idx="14">
                  <c:v>키우기</c:v>
                </c:pt>
                <c:pt idx="15">
                  <c:v>오펜스</c:v>
                </c:pt>
                <c:pt idx="16">
                  <c:v>탈출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'2026.04'!$B$2:$B$28</c15:sqref>
                  </c15:fullRef>
                </c:ext>
              </c:extLst>
              <c:f>'2026.04'!$B$2:$B$18</c:f>
              <c:numCache>
                <c:formatCode>General</c:formatCode>
                <c:ptCount val="17"/>
                <c:pt idx="0">
                  <c:v>38</c:v>
                </c:pt>
                <c:pt idx="1">
                  <c:v>13</c:v>
                </c:pt>
                <c:pt idx="2">
                  <c:v>11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'2026.04'!$B$22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1.9763005814749348E-2"/>
                        <c:y val="-0.11991872427862055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D4E1-46D8-993C-D5BA2CED8105}"/>
                      </c:ext>
                    </c:extLst>
                  </c15:dLbl>
                </c15:categoryFilterException>
                <c15:categoryFilterException>
                  <c15:sqref>'2026.04'!$B$26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1.1085787783854144E-16"/>
                        <c:y val="-8.4526234961678201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B-D4E1-46D8-993C-D5BA2CED8105}"/>
                      </c:ext>
                    </c:extLst>
                  </c15:dLbl>
                </c15:categoryFilterException>
                <c15:categoryFilterException>
                  <c15:sqref>'2026.04'!$B$28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9.0702947845804991E-3"/>
                        <c:y val="-7.498295036923065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D-D4E1-46D8-993C-D5BA2CED8105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1-5548-4184-9352-246C05E16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'2026.04'!$B$1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0E-4C36-9E7D-FF17D47FF1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0E-4C36-9E7D-FF17D47FF1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0E-4C36-9E7D-FF17D47FF1DC}"/>
              </c:ext>
            </c:extLst>
          </c:dPt>
          <c:dPt>
            <c:idx val="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30E-4C36-9E7D-FF17D47FF1DC}"/>
              </c:ext>
            </c:extLst>
          </c:dPt>
          <c:dPt>
            <c:idx val="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30E-4C36-9E7D-FF17D47FF1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30E-4C36-9E7D-FF17D47FF1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30E-4C36-9E7D-FF17D47FF1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30E-4C36-9E7D-FF17D47FF1DC}"/>
              </c:ext>
            </c:extLst>
          </c:dPt>
          <c:dPt>
            <c:idx val="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30E-4C36-9E7D-FF17D47FF1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30E-4C36-9E7D-FF17D47FF1DC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30E-4C36-9E7D-FF17D47FF1D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30E-4C36-9E7D-FF17D47FF1DC}"/>
              </c:ext>
            </c:extLst>
          </c:dPt>
          <c:dPt>
            <c:idx val="12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30E-4C36-9E7D-FF17D47FF1DC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30E-4C36-9E7D-FF17D47FF1DC}"/>
              </c:ext>
            </c:extLst>
          </c:dPt>
          <c:dPt>
            <c:idx val="1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30E-4C36-9E7D-FF17D47FF1DC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130E-4C36-9E7D-FF17D47FF1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'2026.04'!$A$2:$A$27</c15:sqref>
                  </c15:fullRef>
                </c:ext>
              </c:extLst>
              <c:f>'2026.04'!$A$3:$A$18</c:f>
              <c:strCache>
                <c:ptCount val="16"/>
                <c:pt idx="0">
                  <c:v>RPG</c:v>
                </c:pt>
                <c:pt idx="1">
                  <c:v>컨트롤</c:v>
                </c:pt>
                <c:pt idx="2">
                  <c:v>디펜스</c:v>
                </c:pt>
                <c:pt idx="3">
                  <c:v>호환요청</c:v>
                </c:pt>
                <c:pt idx="4">
                  <c:v>퍼즐</c:v>
                </c:pt>
                <c:pt idx="5">
                  <c:v>서바이벌</c:v>
                </c:pt>
                <c:pt idx="6">
                  <c:v>AOS</c:v>
                </c:pt>
                <c:pt idx="7">
                  <c:v>컴까기</c:v>
                </c:pt>
                <c:pt idx="8">
                  <c:v>기타</c:v>
                </c:pt>
                <c:pt idx="9">
                  <c:v>대전</c:v>
                </c:pt>
                <c:pt idx="10">
                  <c:v>공포</c:v>
                </c:pt>
                <c:pt idx="11">
                  <c:v>캠페인</c:v>
                </c:pt>
                <c:pt idx="12">
                  <c:v>디플로메시</c:v>
                </c:pt>
                <c:pt idx="13">
                  <c:v>키우기</c:v>
                </c:pt>
                <c:pt idx="14">
                  <c:v>오펜스</c:v>
                </c:pt>
                <c:pt idx="15">
                  <c:v>탈출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'2026.04'!$B$2:$B$27</c15:sqref>
                  </c15:fullRef>
                </c:ext>
              </c:extLst>
              <c:f>'2026.04'!$B$3:$B$18</c:f>
              <c:numCache>
                <c:formatCode>General</c:formatCode>
                <c:ptCount val="16"/>
                <c:pt idx="0">
                  <c:v>13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'2026.04'!$B$2</c15:sqref>
                  <c15:bubble3D val="0"/>
                </c15:categoryFilterException>
                <c15:categoryFilterException>
                  <c15:sqref>'2026.04'!$B$19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'2026.04'!$B$20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'2026.04'!$B$21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'2026.04'!$B$22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'2026.04'!$B$23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'2026.04'!$B$24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'2026.04'!$B$25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'2026.04'!$B$26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'2026.04'!$B$27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E-130E-4C36-9E7D-FF17D47FF1DC}"/>
            </c:ext>
          </c:extLst>
        </c:ser>
        <c:ser>
          <c:idx val="0"/>
          <c:order val="1"/>
          <c:tx>
            <c:strRef>
              <c:f>'2026.04'!$B$1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130E-4C36-9E7D-FF17D47FF1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130E-4C36-9E7D-FF17D47FF1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130E-4C36-9E7D-FF17D47FF1DC}"/>
              </c:ext>
            </c:extLst>
          </c:dPt>
          <c:dPt>
            <c:idx val="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130E-4C36-9E7D-FF17D47FF1DC}"/>
              </c:ext>
            </c:extLst>
          </c:dPt>
          <c:dPt>
            <c:idx val="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130E-4C36-9E7D-FF17D47FF1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130E-4C36-9E7D-FF17D47FF1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130E-4C36-9E7D-FF17D47FF1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130E-4C36-9E7D-FF17D47FF1DC}"/>
              </c:ext>
            </c:extLst>
          </c:dPt>
          <c:dPt>
            <c:idx val="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130E-4C36-9E7D-FF17D47FF1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130E-4C36-9E7D-FF17D47FF1DC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130E-4C36-9E7D-FF17D47FF1D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130E-4C36-9E7D-FF17D47FF1DC}"/>
              </c:ext>
            </c:extLst>
          </c:dPt>
          <c:dPt>
            <c:idx val="12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130E-4C36-9E7D-FF17D47FF1DC}"/>
              </c:ext>
            </c:extLst>
          </c:dPt>
          <c:dPt>
            <c:idx val="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130E-4C36-9E7D-FF17D47FF1DC}"/>
              </c:ext>
            </c:extLst>
          </c:dPt>
          <c:dPt>
            <c:idx val="1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130E-4C36-9E7D-FF17D47FF1DC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130E-4C36-9E7D-FF17D47FF1DC}"/>
              </c:ext>
            </c:extLst>
          </c:dPt>
          <c:dLbls>
            <c:dLbl>
              <c:idx val="1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130E-4C36-9E7D-FF17D47FF1DC}"/>
                </c:ext>
              </c:extLst>
            </c:dLbl>
            <c:dLbl>
              <c:idx val="3"/>
              <c:layout>
                <c:manualLayout>
                  <c:x val="-4.9713992440231451E-3"/>
                  <c:y val="-2.909964132438870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130E-4C36-9E7D-FF17D47FF1DC}"/>
                </c:ext>
              </c:extLst>
            </c:dLbl>
            <c:dLbl>
              <c:idx val="4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130E-4C36-9E7D-FF17D47FF1DC}"/>
                </c:ext>
              </c:extLst>
            </c:dLbl>
            <c:dLbl>
              <c:idx val="5"/>
              <c:layout>
                <c:manualLayout>
                  <c:x val="-4.7438979567900842E-3"/>
                  <c:y val="-1.597724015331940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A-130E-4C36-9E7D-FF17D47FF1DC}"/>
                </c:ext>
              </c:extLst>
            </c:dLbl>
            <c:dLbl>
              <c:idx val="8"/>
              <c:layout>
                <c:manualLayout>
                  <c:x val="-1.4233535745508193E-3"/>
                  <c:y val="-4.278938893167552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130E-4C36-9E7D-FF17D47FF1DC}"/>
                </c:ext>
              </c:extLst>
            </c:dLbl>
            <c:dLbl>
              <c:idx val="12"/>
              <c:layout>
                <c:manualLayout>
                  <c:x val="-1.403390024665679E-4"/>
                  <c:y val="2.817720039883200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130E-4C36-9E7D-FF17D47FF1DC}"/>
                </c:ext>
              </c:extLst>
            </c:dLbl>
            <c:dLbl>
              <c:idx val="13"/>
              <c:layout>
                <c:manualLayout>
                  <c:x val="-6.4442457859976432E-2"/>
                  <c:y val="-7.28813835527475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130E-4C36-9E7D-FF17D47FF1DC}"/>
                </c:ext>
              </c:extLst>
            </c:dLbl>
            <c:dLbl>
              <c:idx val="14"/>
              <c:layout>
                <c:manualLayout>
                  <c:x val="-4.3638062266549697E-2"/>
                  <c:y val="-8.945333153070068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130E-4C36-9E7D-FF17D47FF1DC}"/>
                </c:ext>
              </c:extLst>
            </c:dLbl>
            <c:dLbl>
              <c:idx val="15"/>
              <c:layout>
                <c:manualLayout>
                  <c:x val="-4.346706495533096E-3"/>
                  <c:y val="-7.959588838806817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130E-4C36-9E7D-FF17D47FF1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'2026.04'!$A$2:$A$27</c15:sqref>
                  </c15:fullRef>
                </c:ext>
              </c:extLst>
              <c:f>'2026.04'!$A$3:$A$18</c:f>
              <c:strCache>
                <c:ptCount val="16"/>
                <c:pt idx="0">
                  <c:v>RPG</c:v>
                </c:pt>
                <c:pt idx="1">
                  <c:v>컨트롤</c:v>
                </c:pt>
                <c:pt idx="2">
                  <c:v>디펜스</c:v>
                </c:pt>
                <c:pt idx="3">
                  <c:v>호환요청</c:v>
                </c:pt>
                <c:pt idx="4">
                  <c:v>퍼즐</c:v>
                </c:pt>
                <c:pt idx="5">
                  <c:v>서바이벌</c:v>
                </c:pt>
                <c:pt idx="6">
                  <c:v>AOS</c:v>
                </c:pt>
                <c:pt idx="7">
                  <c:v>컴까기</c:v>
                </c:pt>
                <c:pt idx="8">
                  <c:v>기타</c:v>
                </c:pt>
                <c:pt idx="9">
                  <c:v>대전</c:v>
                </c:pt>
                <c:pt idx="10">
                  <c:v>공포</c:v>
                </c:pt>
                <c:pt idx="11">
                  <c:v>캠페인</c:v>
                </c:pt>
                <c:pt idx="12">
                  <c:v>디플로메시</c:v>
                </c:pt>
                <c:pt idx="13">
                  <c:v>키우기</c:v>
                </c:pt>
                <c:pt idx="14">
                  <c:v>오펜스</c:v>
                </c:pt>
                <c:pt idx="15">
                  <c:v>탈출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'2026.04'!$B$2:$B$27</c15:sqref>
                  </c15:fullRef>
                </c:ext>
              </c:extLst>
              <c:f>'2026.04'!$B$3:$B$18</c:f>
              <c:numCache>
                <c:formatCode>General</c:formatCode>
                <c:ptCount val="16"/>
                <c:pt idx="0">
                  <c:v>13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'2026.04'!$B$2</c15:sqref>
                  <c15:bubble3D val="0"/>
                </c15:categoryFilterException>
                <c15:categoryFilterException>
                  <c15:sqref>'2026.04'!$B$19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9.9817749425839985E-6"/>
                        <c:y val="-3.8544349994004638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DA10-474B-AA0D-FE463D3E0E55}"/>
                      </c:ext>
                    </c:extLst>
                  </c15:dLbl>
                </c15:categoryFilterException>
                <c15:categoryFilterException>
                  <c15:sqref>'2026.04'!$B$20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'2026.04'!$B$21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3.1611330597931448E-3"/>
                        <c:y val="-1.2406176592010313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DA10-474B-AA0D-FE463D3E0E55}"/>
                      </c:ext>
                    </c:extLst>
                  </c15:dLbl>
                </c15:categoryFilterException>
                <c15:categoryFilterException>
                  <c15:sqref>'2026.04'!$B$22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1.8145678539076927E-2"/>
                        <c:y val="-7.0696295026584838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DA10-474B-AA0D-FE463D3E0E55}"/>
                      </c:ext>
                    </c:extLst>
                  </c15:dLbl>
                </c15:categoryFilterException>
                <c15:categoryFilterException>
                  <c15:sqref>'2026.04'!$B$23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4.5274479203863691E-3"/>
                        <c:y val="-8.8149943627492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DA10-474B-AA0D-FE463D3E0E55}"/>
                      </c:ext>
                    </c:extLst>
                  </c15:dLbl>
                </c15:categoryFilterException>
                <c15:categoryFilterException>
                  <c15:sqref>'2026.04'!$B$24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'2026.04'!$B$25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7.7239925150947611E-6"/>
                        <c:y val="-2.8124891862159529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DA10-474B-AA0D-FE463D3E0E55}"/>
                      </c:ext>
                    </c:extLst>
                  </c15:dLbl>
                </c15:categoryFilterException>
                <c15:categoryFilterException>
                  <c15:sqref>'2026.04'!$B$26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1.5117157974300554E-3"/>
                        <c:y val="-4.089979111048944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DA10-474B-AA0D-FE463D3E0E55}"/>
                      </c:ext>
                    </c:extLst>
                  </c15:dLbl>
                </c15:categoryFilterException>
                <c15:categoryFilterException>
                  <c15:sqref>'2026.04'!$B$27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3.0234315948601664E-3"/>
                        <c:y val="-8.861621407272712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5-DA10-474B-AA0D-FE463D3E0E55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D-130E-4C36-9E7D-FF17D47FF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'2026.05'!$B$1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39-4A26-B710-B933777C14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39-4A26-B710-B933777C14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239-4A26-B710-B933777C14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239-4A26-B710-B933777C14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239-4A26-B710-B933777C14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239-4A26-B710-B933777C1423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239-4A26-B710-B933777C14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239-4A26-B710-B933777C1423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239-4A26-B710-B933777C1423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239-4A26-B710-B933777C14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239-4A26-B710-B933777C14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239-4A26-B710-B933777C14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239-4A26-B710-B933777C14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239-4A26-B710-B933777C14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239-4A26-B710-B933777C1423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239-4A26-B710-B933777C14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239-4A26-B710-B933777C14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1D54-408E-B12B-57C8C4E7A9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'2026.05'!$A$2:$A$28</c15:sqref>
                  </c15:fullRef>
                </c:ext>
              </c:extLst>
              <c:f>'2026.05'!$A$2:$A$19</c:f>
              <c:strCache>
                <c:ptCount val="18"/>
                <c:pt idx="0">
                  <c:v>맞히기</c:v>
                </c:pt>
                <c:pt idx="1">
                  <c:v>디펜스</c:v>
                </c:pt>
                <c:pt idx="2">
                  <c:v>대전</c:v>
                </c:pt>
                <c:pt idx="3">
                  <c:v>컴까기</c:v>
                </c:pt>
                <c:pt idx="4">
                  <c:v>기타</c:v>
                </c:pt>
                <c:pt idx="5">
                  <c:v>컨트롤</c:v>
                </c:pt>
                <c:pt idx="6">
                  <c:v>캠페인</c:v>
                </c:pt>
                <c:pt idx="7">
                  <c:v>RPG</c:v>
                </c:pt>
                <c:pt idx="8">
                  <c:v>오펜스</c:v>
                </c:pt>
                <c:pt idx="9">
                  <c:v>호환요청</c:v>
                </c:pt>
                <c:pt idx="10">
                  <c:v>퍼즐</c:v>
                </c:pt>
                <c:pt idx="11">
                  <c:v>서바이벌</c:v>
                </c:pt>
                <c:pt idx="12">
                  <c:v>공포</c:v>
                </c:pt>
                <c:pt idx="13">
                  <c:v>키우기</c:v>
                </c:pt>
                <c:pt idx="14">
                  <c:v>어드벤처</c:v>
                </c:pt>
                <c:pt idx="15">
                  <c:v>밀리기반</c:v>
                </c:pt>
                <c:pt idx="16">
                  <c:v>영상</c:v>
                </c:pt>
                <c:pt idx="17">
                  <c:v>슈팅</c:v>
                </c:pt>
                <c:pt idx="18">
                  <c:v>추리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'2026.05'!$B$2:$B$27</c15:sqref>
                  </c15:fullRef>
                </c:ext>
              </c:extLst>
              <c:f>'2026.05'!$B$2:$B$19</c:f>
              <c:numCache>
                <c:formatCode>General</c:formatCode>
                <c:ptCount val="18"/>
                <c:pt idx="0">
                  <c:v>44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'2026.05'!$B$27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2-B239-4A26-B710-B933777C1423}"/>
            </c:ext>
          </c:extLst>
        </c:ser>
        <c:ser>
          <c:idx val="0"/>
          <c:order val="1"/>
          <c:tx>
            <c:strRef>
              <c:f>'2026.05'!$B$1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B239-4A26-B710-B933777C14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B239-4A26-B710-B933777C14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B239-4A26-B710-B933777C14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B239-4A26-B710-B933777C14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B239-4A26-B710-B933777C14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B239-4A26-B710-B933777C1423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B239-4A26-B710-B933777C14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B239-4A26-B710-B933777C1423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B239-4A26-B710-B933777C1423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B239-4A26-B710-B933777C14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B239-4A26-B710-B933777C14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B239-4A26-B710-B933777C14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B239-4A26-B710-B933777C14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B239-4A26-B710-B933777C14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B239-4A26-B710-B933777C1423}"/>
              </c:ext>
            </c:extLst>
          </c:dPt>
          <c:dPt>
            <c:idx val="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B239-4A26-B710-B933777C14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B239-4A26-B710-B933777C14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7-1D54-408E-B12B-57C8C4E7A963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239-4A26-B710-B933777C1423}"/>
                </c:ext>
              </c:extLst>
            </c:dLbl>
            <c:dLbl>
              <c:idx val="6"/>
              <c:layout>
                <c:manualLayout>
                  <c:x val="-3.3948137435201552E-3"/>
                  <c:y val="-5.0410871143007959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239-4A26-B710-B933777C1423}"/>
                </c:ext>
              </c:extLst>
            </c:dLbl>
            <c:dLbl>
              <c:idx val="7"/>
              <c:layout>
                <c:manualLayout>
                  <c:x val="-3.6870391201099862E-3"/>
                  <c:y val="-4.047361743408880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239-4A26-B710-B933777C1423}"/>
                </c:ext>
              </c:extLst>
            </c:dLbl>
            <c:dLbl>
              <c:idx val="8"/>
              <c:layout>
                <c:manualLayout>
                  <c:x val="-4.5533594015033834E-3"/>
                  <c:y val="-7.9384240226264941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239-4A26-B710-B933777C1423}"/>
                </c:ext>
              </c:extLst>
            </c:dLbl>
            <c:dLbl>
              <c:idx val="9"/>
              <c:layout>
                <c:manualLayout>
                  <c:x val="-8.9111361079865045E-2"/>
                  <c:y val="-6.182770968362135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239-4A26-B710-B933777C1423}"/>
                </c:ext>
              </c:extLst>
            </c:dLbl>
            <c:dLbl>
              <c:idx val="10"/>
              <c:layout>
                <c:manualLayout>
                  <c:x val="-1.4699353057058345E-3"/>
                  <c:y val="1.530253339317631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239-4A26-B710-B933777C1423}"/>
                </c:ext>
              </c:extLst>
            </c:dLbl>
            <c:dLbl>
              <c:idx val="11"/>
              <c:layout>
                <c:manualLayout>
                  <c:x val="-8.7679516250944847E-2"/>
                  <c:y val="-6.543966577678310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239-4A26-B710-B933777C1423}"/>
                </c:ext>
              </c:extLst>
            </c:dLbl>
            <c:dLbl>
              <c:idx val="12"/>
              <c:layout>
                <c:manualLayout>
                  <c:x val="-3.0234315948601664E-3"/>
                  <c:y val="-1.363326370349623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B239-4A26-B710-B933777C1423}"/>
                </c:ext>
              </c:extLst>
            </c:dLbl>
            <c:dLbl>
              <c:idx val="13"/>
              <c:layout>
                <c:manualLayout>
                  <c:x val="-7.8609221466364329E-2"/>
                  <c:y val="-6.680299214713275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B239-4A26-B710-B933777C1423}"/>
                </c:ext>
              </c:extLst>
            </c:dLbl>
            <c:dLbl>
              <c:idx val="14"/>
              <c:layout>
                <c:manualLayout>
                  <c:x val="-4.0816326530612242E-2"/>
                  <c:y val="-8.179958222097889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B239-4A26-B710-B933777C1423}"/>
                </c:ext>
              </c:extLst>
            </c:dLbl>
            <c:dLbl>
              <c:idx val="15"/>
              <c:layout>
                <c:manualLayout>
                  <c:x val="-1.9763005814749348E-2"/>
                  <c:y val="-0.1199187242786205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B239-4A26-B710-B933777C1423}"/>
                </c:ext>
              </c:extLst>
            </c:dLbl>
            <c:dLbl>
              <c:idx val="16"/>
              <c:layout>
                <c:manualLayout>
                  <c:x val="1.5117157974301385E-3"/>
                  <c:y val="-7.770960310992995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B239-4A26-B710-B933777C14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'2026.05'!$A$2:$A$28</c15:sqref>
                  </c15:fullRef>
                </c:ext>
              </c:extLst>
              <c:f>'2026.05'!$A$2:$A$19</c:f>
              <c:strCache>
                <c:ptCount val="18"/>
                <c:pt idx="0">
                  <c:v>맞히기</c:v>
                </c:pt>
                <c:pt idx="1">
                  <c:v>디펜스</c:v>
                </c:pt>
                <c:pt idx="2">
                  <c:v>대전</c:v>
                </c:pt>
                <c:pt idx="3">
                  <c:v>컴까기</c:v>
                </c:pt>
                <c:pt idx="4">
                  <c:v>기타</c:v>
                </c:pt>
                <c:pt idx="5">
                  <c:v>컨트롤</c:v>
                </c:pt>
                <c:pt idx="6">
                  <c:v>캠페인</c:v>
                </c:pt>
                <c:pt idx="7">
                  <c:v>RPG</c:v>
                </c:pt>
                <c:pt idx="8">
                  <c:v>오펜스</c:v>
                </c:pt>
                <c:pt idx="9">
                  <c:v>호환요청</c:v>
                </c:pt>
                <c:pt idx="10">
                  <c:v>퍼즐</c:v>
                </c:pt>
                <c:pt idx="11">
                  <c:v>서바이벌</c:v>
                </c:pt>
                <c:pt idx="12">
                  <c:v>공포</c:v>
                </c:pt>
                <c:pt idx="13">
                  <c:v>키우기</c:v>
                </c:pt>
                <c:pt idx="14">
                  <c:v>어드벤처</c:v>
                </c:pt>
                <c:pt idx="15">
                  <c:v>밀리기반</c:v>
                </c:pt>
                <c:pt idx="16">
                  <c:v>영상</c:v>
                </c:pt>
                <c:pt idx="17">
                  <c:v>슈팅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'2026.05'!$B$2:$B$28</c15:sqref>
                  </c15:fullRef>
                </c:ext>
              </c:extLst>
              <c:f>'2026.05'!$B$2:$B$19</c:f>
              <c:numCache>
                <c:formatCode>General</c:formatCode>
                <c:ptCount val="18"/>
                <c:pt idx="0">
                  <c:v>44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'2026.05'!$B$27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-1.1085787783854144E-16"/>
                        <c:y val="-8.4526234961678201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B-83D1-49DD-BAEE-A8A460B2F96D}"/>
                      </c:ext>
                    </c:extLst>
                  </c15:dLbl>
                </c15:categoryFilterException>
                <c15:categoryFilterException>
                  <c15:sqref>'2026.05'!$B$28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7"/>
                    <c:layout>
                      <c:manualLayout>
                        <c:x val="9.0702947845804991E-3"/>
                        <c:y val="-7.498295036923065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D-83D1-49DD-BAEE-A8A460B2F96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5-B239-4A26-B710-B933777C1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'2026.05'!$B$1</c:f>
              <c:strCache>
                <c:ptCount val="1"/>
                <c:pt idx="0">
                  <c:v>개수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21-4940-8A56-E65CACAE2A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21-4940-8A56-E65CACAE2A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21-4940-8A56-E65CACAE2A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C21-4940-8A56-E65CACAE2A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C21-4940-8A56-E65CACAE2A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C21-4940-8A56-E65CACAE2A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C21-4940-8A56-E65CACAE2A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C21-4940-8A56-E65CACAE2A9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C21-4940-8A56-E65CACAE2A9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C21-4940-8A56-E65CACAE2A9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C21-4940-8A56-E65CACAE2A9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C21-4940-8A56-E65CACAE2A9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C21-4940-8A56-E65CACAE2A9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C21-4940-8A56-E65CACAE2A9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C21-4940-8A56-E65CACAE2A9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C21-4940-8A56-E65CACAE2A9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5C21-4940-8A56-E65CACAE2A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'2026.05'!$A$2:$A$27</c15:sqref>
                  </c15:fullRef>
                </c:ext>
              </c:extLst>
              <c:f>'2026.05'!$A$3:$A$19</c:f>
              <c:strCache>
                <c:ptCount val="17"/>
                <c:pt idx="0">
                  <c:v>디펜스</c:v>
                </c:pt>
                <c:pt idx="1">
                  <c:v>대전</c:v>
                </c:pt>
                <c:pt idx="2">
                  <c:v>컴까기</c:v>
                </c:pt>
                <c:pt idx="3">
                  <c:v>기타</c:v>
                </c:pt>
                <c:pt idx="4">
                  <c:v>컨트롤</c:v>
                </c:pt>
                <c:pt idx="5">
                  <c:v>캠페인</c:v>
                </c:pt>
                <c:pt idx="6">
                  <c:v>RPG</c:v>
                </c:pt>
                <c:pt idx="7">
                  <c:v>오펜스</c:v>
                </c:pt>
                <c:pt idx="8">
                  <c:v>호환요청</c:v>
                </c:pt>
                <c:pt idx="9">
                  <c:v>퍼즐</c:v>
                </c:pt>
                <c:pt idx="10">
                  <c:v>서바이벌</c:v>
                </c:pt>
                <c:pt idx="11">
                  <c:v>공포</c:v>
                </c:pt>
                <c:pt idx="12">
                  <c:v>키우기</c:v>
                </c:pt>
                <c:pt idx="13">
                  <c:v>어드벤처</c:v>
                </c:pt>
                <c:pt idx="14">
                  <c:v>밀리기반</c:v>
                </c:pt>
                <c:pt idx="15">
                  <c:v>영상</c:v>
                </c:pt>
                <c:pt idx="16">
                  <c:v>슈팅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'2026.05'!$B$2:$B$27</c15:sqref>
                  </c15:fullRef>
                </c:ext>
              </c:extLst>
              <c:f>'2026.05'!$B$3:$B$19</c:f>
              <c:numCache>
                <c:formatCode>General</c:formatCode>
                <c:ptCount val="17"/>
                <c:pt idx="0">
                  <c:v>9</c:v>
                </c:pt>
                <c:pt idx="1">
                  <c:v>9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'2026.05'!$B$2</c15:sqref>
                  <c15:bubble3D val="0"/>
                </c15:categoryFilterException>
                <c15:categoryFilterException>
                  <c15:sqref>'2026.05'!$B$20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'2026.05'!$B$21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'2026.05'!$B$22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'2026.05'!$B$23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'2026.05'!$B$24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'2026.05'!$B$25</c15:sqref>
                  <c15:spPr xmlns:c15="http://schemas.microsoft.com/office/drawing/2012/chart"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'2026.05'!$B$26</c15:sqref>
                  <c15:spPr xmlns:c15="http://schemas.microsoft.com/office/drawing/2012/chart"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'2026.05'!$B$27</c15:sqref>
                  <c15:spPr xmlns:c15="http://schemas.microsoft.com/office/drawing/2012/chart"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0-5C21-4940-8A56-E65CACAE2A99}"/>
            </c:ext>
          </c:extLst>
        </c:ser>
        <c:ser>
          <c:idx val="0"/>
          <c:order val="1"/>
          <c:tx>
            <c:strRef>
              <c:f>'2026.05'!$B$1</c:f>
              <c:strCache>
                <c:ptCount val="1"/>
                <c:pt idx="0">
                  <c:v>개수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5C21-4940-8A56-E65CACAE2A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5C21-4940-8A56-E65CACAE2A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5C21-4940-8A56-E65CACAE2A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5C21-4940-8A56-E65CACAE2A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5C21-4940-8A56-E65CACAE2A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5C21-4940-8A56-E65CACAE2A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5C21-4940-8A56-E65CACAE2A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5C21-4940-8A56-E65CACAE2A9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5C21-4940-8A56-E65CACAE2A9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5C21-4940-8A56-E65CACAE2A9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5C21-4940-8A56-E65CACAE2A9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5C21-4940-8A56-E65CACAE2A9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5C21-4940-8A56-E65CACAE2A9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5C21-4940-8A56-E65CACAE2A9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5C21-4940-8A56-E65CACAE2A9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5C21-4940-8A56-E65CACAE2A9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5C21-4940-8A56-E65CACAE2A99}"/>
              </c:ext>
            </c:extLst>
          </c:dPt>
          <c:dLbls>
            <c:dLbl>
              <c:idx val="3"/>
              <c:layout>
                <c:manualLayout>
                  <c:x val="-1.4233535745508193E-3"/>
                  <c:y val="-4.278938893167552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C21-4940-8A56-E65CACAE2A99}"/>
                </c:ext>
              </c:extLst>
            </c:dLbl>
            <c:dLbl>
              <c:idx val="4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C21-4940-8A56-E65CACAE2A99}"/>
                </c:ext>
              </c:extLst>
            </c:dLbl>
            <c:dLbl>
              <c:idx val="7"/>
              <c:layout>
                <c:manualLayout>
                  <c:x val="-2.8910309830729296E-3"/>
                  <c:y val="-2.5809233180994779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5C21-4940-8A56-E65CACAE2A99}"/>
                </c:ext>
              </c:extLst>
            </c:dLbl>
            <c:dLbl>
              <c:idx val="8"/>
              <c:layout>
                <c:manualLayout>
                  <c:x val="-4.9713992440231451E-3"/>
                  <c:y val="-2.909964132438870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5C21-4940-8A56-E65CACAE2A99}"/>
                </c:ext>
              </c:extLst>
            </c:dLbl>
            <c:dLbl>
              <c:idx val="9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5C21-4940-8A56-E65CACAE2A99}"/>
                </c:ext>
              </c:extLst>
            </c:dLbl>
            <c:dLbl>
              <c:idx val="10"/>
              <c:layout>
                <c:manualLayout>
                  <c:x val="-0.10736605081887986"/>
                  <c:y val="-3.609118021739427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6-5C21-4940-8A56-E65CACAE2A99}"/>
                </c:ext>
              </c:extLst>
            </c:dLbl>
            <c:dLbl>
              <c:idx val="12"/>
              <c:layout>
                <c:manualLayout>
                  <c:x val="-2.5673362813634203E-3"/>
                  <c:y val="-6.1864903949502317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5C21-4940-8A56-E65CACAE2A99}"/>
                </c:ext>
              </c:extLst>
            </c:dLbl>
            <c:dLbl>
              <c:idx val="13"/>
              <c:layout>
                <c:manualLayout>
                  <c:x val="-9.2068089489464294E-2"/>
                  <c:y val="-5.878845783972183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5C21-4940-8A56-E65CACAE2A99}"/>
                </c:ext>
              </c:extLst>
            </c:dLbl>
            <c:dLbl>
              <c:idx val="14"/>
              <c:layout>
                <c:manualLayout>
                  <c:x val="-1.8145678539076927E-2"/>
                  <c:y val="-7.069629502658483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5C21-4940-8A56-E65CACAE2A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'2026.05'!$A$2:$A$27</c15:sqref>
                  </c15:fullRef>
                </c:ext>
              </c:extLst>
              <c:f>'2026.05'!$A$3:$A$19</c:f>
              <c:strCache>
                <c:ptCount val="17"/>
                <c:pt idx="0">
                  <c:v>디펜스</c:v>
                </c:pt>
                <c:pt idx="1">
                  <c:v>대전</c:v>
                </c:pt>
                <c:pt idx="2">
                  <c:v>컴까기</c:v>
                </c:pt>
                <c:pt idx="3">
                  <c:v>기타</c:v>
                </c:pt>
                <c:pt idx="4">
                  <c:v>컨트롤</c:v>
                </c:pt>
                <c:pt idx="5">
                  <c:v>캠페인</c:v>
                </c:pt>
                <c:pt idx="6">
                  <c:v>RPG</c:v>
                </c:pt>
                <c:pt idx="7">
                  <c:v>오펜스</c:v>
                </c:pt>
                <c:pt idx="8">
                  <c:v>호환요청</c:v>
                </c:pt>
                <c:pt idx="9">
                  <c:v>퍼즐</c:v>
                </c:pt>
                <c:pt idx="10">
                  <c:v>서바이벌</c:v>
                </c:pt>
                <c:pt idx="11">
                  <c:v>공포</c:v>
                </c:pt>
                <c:pt idx="12">
                  <c:v>키우기</c:v>
                </c:pt>
                <c:pt idx="13">
                  <c:v>어드벤처</c:v>
                </c:pt>
                <c:pt idx="14">
                  <c:v>밀리기반</c:v>
                </c:pt>
                <c:pt idx="15">
                  <c:v>영상</c:v>
                </c:pt>
                <c:pt idx="16">
                  <c:v>슈팅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'2026.05'!$B$2:$B$27</c15:sqref>
                  </c15:fullRef>
                </c:ext>
              </c:extLst>
              <c:f>'2026.05'!$B$3:$B$19</c:f>
              <c:numCache>
                <c:formatCode>General</c:formatCode>
                <c:ptCount val="17"/>
                <c:pt idx="0">
                  <c:v>9</c:v>
                </c:pt>
                <c:pt idx="1">
                  <c:v>9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'2026.05'!$B$2</c15:sqref>
                  <c15:bubble3D val="0"/>
                </c15:categoryFilterException>
                <c15:categoryFilterException>
                  <c15:sqref>'2026.05'!$B$20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'2026.05'!$B$21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1.403390024665679E-4"/>
                        <c:y val="2.8177200398832006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E794-4D27-9D6B-207C54BAA1CB}"/>
                      </c:ext>
                    </c:extLst>
                  </c15:dLbl>
                </c15:categoryFilterException>
                <c15:categoryFilterException>
                  <c15:sqref>'2026.05'!$B$22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4.346706495533096E-3"/>
                        <c:y val="-7.9595888388068178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E794-4D27-9D6B-207C54BAA1CB}"/>
                      </c:ext>
                    </c:extLst>
                  </c15:dLbl>
                </c15:categoryFilterException>
                <c15:categoryFilterException>
                  <c15:sqref>'2026.05'!$B$23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'2026.05'!$B$24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3.1611330597931448E-3"/>
                        <c:y val="-1.2406176592010313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F-E794-4D27-9D6B-207C54BAA1CB}"/>
                      </c:ext>
                    </c:extLst>
                  </c15:dLbl>
                </c15:categoryFilterException>
                <c15:categoryFilterException>
                  <c15:sqref>'2026.05'!$B$25</c15:sqref>
                  <c15:spPr xmlns:c15="http://schemas.microsoft.com/office/drawing/2012/chart"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4.5274479203863691E-3"/>
                        <c:y val="-8.8149943627492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E794-4D27-9D6B-207C54BAA1CB}"/>
                      </c:ext>
                    </c:extLst>
                  </c15:dLbl>
                </c15:categoryFilterException>
                <c15:categoryFilterException>
                  <c15:sqref>'2026.05'!$B$26</c15:sqref>
                  <c15:spPr xmlns:c15="http://schemas.microsoft.com/office/drawing/2012/chart"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7.7239925150947611E-6"/>
                        <c:y val="-2.8124891862159529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E794-4D27-9D6B-207C54BAA1CB}"/>
                      </c:ext>
                    </c:extLst>
                  </c15:dLbl>
                </c15:categoryFilterException>
                <c15:categoryFilterException>
                  <c15:sqref>'2026.05'!$B$27</c15:sqref>
                  <c15:spPr xmlns:c15="http://schemas.microsoft.com/office/drawing/2012/chart"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1.5117157974300554E-3"/>
                        <c:y val="-4.089979111048944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5-E794-4D27-9D6B-207C54BAA1CB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1-5C21-4940-8A56-E65CACAE2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'2026.06'!$B$1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F28-4E3D-BEFD-1EBD2AB854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F28-4E3D-BEFD-1EBD2AB854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F28-4E3D-BEFD-1EBD2AB854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F28-4E3D-BEFD-1EBD2AB854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F28-4E3D-BEFD-1EBD2AB854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F28-4E3D-BEFD-1EBD2AB854DE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F28-4E3D-BEFD-1EBD2AB854D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F28-4E3D-BEFD-1EBD2AB854DE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F28-4E3D-BEFD-1EBD2AB854DE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F28-4E3D-BEFD-1EBD2AB854D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F28-4E3D-BEFD-1EBD2AB854D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F28-4E3D-BEFD-1EBD2AB854D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F28-4E3D-BEFD-1EBD2AB854D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F28-4E3D-BEFD-1EBD2AB854DE}"/>
              </c:ext>
            </c:extLst>
          </c:dPt>
          <c:dPt>
            <c:idx val="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F28-4E3D-BEFD-1EBD2AB854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'2026.06'!$A$2:$A$28</c15:sqref>
                  </c15:fullRef>
                </c:ext>
              </c:extLst>
              <c:f>'2026.06'!$A$2:$A$16</c:f>
              <c:strCache>
                <c:ptCount val="15"/>
                <c:pt idx="0">
                  <c:v>맞히기</c:v>
                </c:pt>
                <c:pt idx="1">
                  <c:v>컨트롤</c:v>
                </c:pt>
                <c:pt idx="2">
                  <c:v>캠페인</c:v>
                </c:pt>
                <c:pt idx="3">
                  <c:v>대전</c:v>
                </c:pt>
                <c:pt idx="4">
                  <c:v>디펜스</c:v>
                </c:pt>
                <c:pt idx="5">
                  <c:v>컴까기</c:v>
                </c:pt>
                <c:pt idx="6">
                  <c:v>기타</c:v>
                </c:pt>
                <c:pt idx="7">
                  <c:v>RPG</c:v>
                </c:pt>
                <c:pt idx="8">
                  <c:v>서바이벌</c:v>
                </c:pt>
                <c:pt idx="9">
                  <c:v>AOS</c:v>
                </c:pt>
                <c:pt idx="10">
                  <c:v>퍼즐</c:v>
                </c:pt>
                <c:pt idx="11">
                  <c:v>밀리기반</c:v>
                </c:pt>
                <c:pt idx="12">
                  <c:v>영상</c:v>
                </c:pt>
                <c:pt idx="13">
                  <c:v>디플로메시</c:v>
                </c:pt>
                <c:pt idx="14">
                  <c:v>미니게임</c:v>
                </c:pt>
                <c:pt idx="15">
                  <c:v>추리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'2026.06'!$B$2:$B$27</c15:sqref>
                  </c15:fullRef>
                </c:ext>
              </c:extLst>
              <c:f>'2026.06'!$B$2:$B$16</c:f>
              <c:numCache>
                <c:formatCode>General</c:formatCode>
                <c:ptCount val="15"/>
                <c:pt idx="0">
                  <c:v>36</c:v>
                </c:pt>
                <c:pt idx="1">
                  <c:v>23</c:v>
                </c:pt>
                <c:pt idx="2">
                  <c:v>12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'2026.06'!$B$17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'2026.06'!$B$18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'2026.06'!$B$19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4-6F28-4E3D-BEFD-1EBD2AB854DE}"/>
            </c:ext>
          </c:extLst>
        </c:ser>
        <c:ser>
          <c:idx val="0"/>
          <c:order val="1"/>
          <c:tx>
            <c:strRef>
              <c:f>'2026.06'!$B$1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6F28-4E3D-BEFD-1EBD2AB854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6F28-4E3D-BEFD-1EBD2AB854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6F28-4E3D-BEFD-1EBD2AB854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6F28-4E3D-BEFD-1EBD2AB854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6F28-4E3D-BEFD-1EBD2AB854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6F28-4E3D-BEFD-1EBD2AB854DE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6F28-4E3D-BEFD-1EBD2AB854D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6F28-4E3D-BEFD-1EBD2AB854DE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6F28-4E3D-BEFD-1EBD2AB854DE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6F28-4E3D-BEFD-1EBD2AB854D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6F28-4E3D-BEFD-1EBD2AB854D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6F28-4E3D-BEFD-1EBD2AB854D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6F28-4E3D-BEFD-1EBD2AB854D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6F28-4E3D-BEFD-1EBD2AB854DE}"/>
              </c:ext>
            </c:extLst>
          </c:dPt>
          <c:dPt>
            <c:idx val="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2-6F28-4E3D-BEFD-1EBD2AB854DE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F28-4E3D-BEFD-1EBD2AB854DE}"/>
                </c:ext>
              </c:extLst>
            </c:dLbl>
            <c:dLbl>
              <c:idx val="6"/>
              <c:layout>
                <c:manualLayout>
                  <c:x val="-3.3948137435201552E-3"/>
                  <c:y val="-5.0410871143007959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F28-4E3D-BEFD-1EBD2AB854DE}"/>
                </c:ext>
              </c:extLst>
            </c:dLbl>
            <c:dLbl>
              <c:idx val="7"/>
              <c:layout>
                <c:manualLayout>
                  <c:x val="-3.6870391201099862E-3"/>
                  <c:y val="-4.047361743408880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F28-4E3D-BEFD-1EBD2AB854DE}"/>
                </c:ext>
              </c:extLst>
            </c:dLbl>
            <c:dLbl>
              <c:idx val="8"/>
              <c:layout>
                <c:manualLayout>
                  <c:x val="-4.5533594015033834E-3"/>
                  <c:y val="-7.9384240226264941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F28-4E3D-BEFD-1EBD2AB854DE}"/>
                </c:ext>
              </c:extLst>
            </c:dLbl>
            <c:dLbl>
              <c:idx val="9"/>
              <c:layout>
                <c:manualLayout>
                  <c:x val="-2.9435606263502776E-3"/>
                  <c:y val="-3.204675758586485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F28-4E3D-BEFD-1EBD2AB854DE}"/>
                </c:ext>
              </c:extLst>
            </c:dLbl>
            <c:dLbl>
              <c:idx val="10"/>
              <c:layout>
                <c:manualLayout>
                  <c:x val="-1.4699353057058345E-3"/>
                  <c:y val="1.530253339317631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F28-4E3D-BEFD-1EBD2AB854DE}"/>
                </c:ext>
              </c:extLst>
            </c:dLbl>
            <c:dLbl>
              <c:idx val="11"/>
              <c:layout>
                <c:manualLayout>
                  <c:x val="-7.407407407407407E-2"/>
                  <c:y val="-6.271301303608381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F28-4E3D-BEFD-1EBD2AB854DE}"/>
                </c:ext>
              </c:extLst>
            </c:dLbl>
            <c:dLbl>
              <c:idx val="12"/>
              <c:layout>
                <c:manualLayout>
                  <c:x val="-3.0234315948601664E-3"/>
                  <c:y val="-1.363326370349623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F28-4E3D-BEFD-1EBD2AB854DE}"/>
                </c:ext>
              </c:extLst>
            </c:dLbl>
            <c:dLbl>
              <c:idx val="13"/>
              <c:layout>
                <c:manualLayout>
                  <c:x val="-5.4421768707483047E-2"/>
                  <c:y val="-8.04362558506292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F28-4E3D-BEFD-1EBD2AB854DE}"/>
                </c:ext>
              </c:extLst>
            </c:dLbl>
            <c:dLbl>
              <c:idx val="14"/>
              <c:layout>
                <c:manualLayout>
                  <c:x val="-1.5117157974300832E-3"/>
                  <c:y val="-0.102249477776223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F28-4E3D-BEFD-1EBD2AB854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'2026.06'!$A$2:$A$28</c15:sqref>
                  </c15:fullRef>
                </c:ext>
              </c:extLst>
              <c:f>'2026.06'!$A$2:$A$16</c:f>
              <c:strCache>
                <c:ptCount val="15"/>
                <c:pt idx="0">
                  <c:v>맞히기</c:v>
                </c:pt>
                <c:pt idx="1">
                  <c:v>컨트롤</c:v>
                </c:pt>
                <c:pt idx="2">
                  <c:v>캠페인</c:v>
                </c:pt>
                <c:pt idx="3">
                  <c:v>대전</c:v>
                </c:pt>
                <c:pt idx="4">
                  <c:v>디펜스</c:v>
                </c:pt>
                <c:pt idx="5">
                  <c:v>컴까기</c:v>
                </c:pt>
                <c:pt idx="6">
                  <c:v>기타</c:v>
                </c:pt>
                <c:pt idx="7">
                  <c:v>RPG</c:v>
                </c:pt>
                <c:pt idx="8">
                  <c:v>서바이벌</c:v>
                </c:pt>
                <c:pt idx="9">
                  <c:v>AOS</c:v>
                </c:pt>
                <c:pt idx="10">
                  <c:v>퍼즐</c:v>
                </c:pt>
                <c:pt idx="11">
                  <c:v>밀리기반</c:v>
                </c:pt>
                <c:pt idx="12">
                  <c:v>영상</c:v>
                </c:pt>
                <c:pt idx="13">
                  <c:v>디플로메시</c:v>
                </c:pt>
                <c:pt idx="14">
                  <c:v>미니게임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'2026.06'!$B$2:$B$28</c15:sqref>
                  </c15:fullRef>
                </c:ext>
              </c:extLst>
              <c:f>'2026.06'!$B$2:$B$16</c:f>
              <c:numCache>
                <c:formatCode>General</c:formatCode>
                <c:ptCount val="15"/>
                <c:pt idx="0">
                  <c:v>36</c:v>
                </c:pt>
                <c:pt idx="1">
                  <c:v>23</c:v>
                </c:pt>
                <c:pt idx="2">
                  <c:v>12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'2026.06'!$B$17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1.9763005814749348E-2"/>
                        <c:y val="-0.11991872427862055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3-345E-4666-98DA-EAC03A48B8FF}"/>
                      </c:ext>
                    </c:extLst>
                  </c15:dLbl>
                </c15:categoryFilterException>
                <c15:categoryFilterException>
                  <c15:sqref>'2026.06'!$B$18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1.5117157974301385E-3"/>
                        <c:y val="-7.7709603109929956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5-345E-4666-98DA-EAC03A48B8FF}"/>
                      </c:ext>
                    </c:extLst>
                  </c15:dLbl>
                </c15:categoryFilterException>
                <c15:categoryFilterException>
                  <c15:sqref>'2026.06'!$B$19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</c15:categoryFilterException>
                <c15:categoryFilterException>
                  <c15:sqref>'2026.06'!$B$28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9.0702947845804991E-3"/>
                        <c:y val="-7.498295036923065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345E-4666-98DA-EAC03A48B8F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9-6F28-4E3D-BEFD-1EBD2AB85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'2026.06'!$B$1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5E-4BAA-8348-EAB7B407DB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5E-4BAA-8348-EAB7B407DB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5E-4BAA-8348-EAB7B407DB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5E-4BAA-8348-EAB7B407DB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5E-4BAA-8348-EAB7B407DB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15E-4BAA-8348-EAB7B407DB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15E-4BAA-8348-EAB7B407DB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15E-4BAA-8348-EAB7B407DB4A}"/>
              </c:ext>
            </c:extLst>
          </c:dPt>
          <c:dPt>
            <c:idx val="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15E-4BAA-8348-EAB7B407DB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15E-4BAA-8348-EAB7B407DB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15E-4BAA-8348-EAB7B407DB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15E-4BAA-8348-EAB7B407DB4A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15E-4BAA-8348-EAB7B407DB4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15E-4BAA-8348-EAB7B407DB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'2026.06'!$A$2:$A$27</c15:sqref>
                  </c15:fullRef>
                </c:ext>
              </c:extLst>
              <c:f>'2026.06'!$A$3:$A$16</c:f>
              <c:strCache>
                <c:ptCount val="14"/>
                <c:pt idx="0">
                  <c:v>컨트롤</c:v>
                </c:pt>
                <c:pt idx="1">
                  <c:v>캠페인</c:v>
                </c:pt>
                <c:pt idx="2">
                  <c:v>대전</c:v>
                </c:pt>
                <c:pt idx="3">
                  <c:v>디펜스</c:v>
                </c:pt>
                <c:pt idx="4">
                  <c:v>컴까기</c:v>
                </c:pt>
                <c:pt idx="5">
                  <c:v>기타</c:v>
                </c:pt>
                <c:pt idx="6">
                  <c:v>RPG</c:v>
                </c:pt>
                <c:pt idx="7">
                  <c:v>서바이벌</c:v>
                </c:pt>
                <c:pt idx="8">
                  <c:v>AOS</c:v>
                </c:pt>
                <c:pt idx="9">
                  <c:v>퍼즐</c:v>
                </c:pt>
                <c:pt idx="10">
                  <c:v>밀리기반</c:v>
                </c:pt>
                <c:pt idx="11">
                  <c:v>영상</c:v>
                </c:pt>
                <c:pt idx="12">
                  <c:v>디플로메시</c:v>
                </c:pt>
                <c:pt idx="13">
                  <c:v>미니게임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'2026.06'!$B$2:$B$27</c15:sqref>
                  </c15:fullRef>
                </c:ext>
              </c:extLst>
              <c:f>'2026.06'!$B$3:$B$16</c:f>
              <c:numCache>
                <c:formatCode>General</c:formatCode>
                <c:ptCount val="14"/>
                <c:pt idx="0">
                  <c:v>23</c:v>
                </c:pt>
                <c:pt idx="1">
                  <c:v>12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'2026.06'!$B$2</c15:sqref>
                  <c15:bubble3D val="0"/>
                </c15:categoryFilterException>
                <c15:categoryFilterException>
                  <c15:sqref>'2026.06'!$B$17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'2026.06'!$B$18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'2026.06'!$B$19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'2026.06'!$B$20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'2026.06'!$B$21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'2026.06'!$B$22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'2026.06'!$B$23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'2026.06'!$B$24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'2026.06'!$B$25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'2026.06'!$B$26</c15:sqref>
                  <c15:spPr xmlns:c15="http://schemas.microsoft.com/office/drawing/2012/chart">
                    <a:solidFill>
                      <a:schemeClr val="accent6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'2026.06'!$B$27</c15:sqref>
                  <c15:spPr xmlns:c15="http://schemas.microsoft.com/office/drawing/2012/chart"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2-115E-4BAA-8348-EAB7B407DB4A}"/>
            </c:ext>
          </c:extLst>
        </c:ser>
        <c:ser>
          <c:idx val="0"/>
          <c:order val="1"/>
          <c:tx>
            <c:strRef>
              <c:f>'2026.06'!$B$1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115E-4BAA-8348-EAB7B407DB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115E-4BAA-8348-EAB7B407DB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115E-4BAA-8348-EAB7B407DB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115E-4BAA-8348-EAB7B407DB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115E-4BAA-8348-EAB7B407DB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115E-4BAA-8348-EAB7B407DB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115E-4BAA-8348-EAB7B407DB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115E-4BAA-8348-EAB7B407DB4A}"/>
              </c:ext>
            </c:extLst>
          </c:dPt>
          <c:dPt>
            <c:idx val="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115E-4BAA-8348-EAB7B407DB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115E-4BAA-8348-EAB7B407DB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115E-4BAA-8348-EAB7B407DB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115E-4BAA-8348-EAB7B407DB4A}"/>
              </c:ext>
            </c:extLst>
          </c:dPt>
          <c:dPt>
            <c:idx val="12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115E-4BAA-8348-EAB7B407DB4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115E-4BAA-8348-EAB7B407DB4A}"/>
              </c:ext>
            </c:extLst>
          </c:dPt>
          <c:dLbls>
            <c:dLbl>
              <c:idx val="0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115E-4BAA-8348-EAB7B407DB4A}"/>
                </c:ext>
              </c:extLst>
            </c:dLbl>
            <c:dLbl>
              <c:idx val="5"/>
              <c:layout>
                <c:manualLayout>
                  <c:x val="-1.4233535745508193E-3"/>
                  <c:y val="-4.278938893167552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115E-4BAA-8348-EAB7B407DB4A}"/>
                </c:ext>
              </c:extLst>
            </c:dLbl>
            <c:dLbl>
              <c:idx val="7"/>
              <c:layout>
                <c:manualLayout>
                  <c:x val="-3.2347486499946744E-3"/>
                  <c:y val="-1.597724015332034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2-115E-4BAA-8348-EAB7B407DB4A}"/>
                </c:ext>
              </c:extLst>
            </c:dLbl>
            <c:dLbl>
              <c:idx val="9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115E-4BAA-8348-EAB7B407DB4A}"/>
                </c:ext>
              </c:extLst>
            </c:dLbl>
            <c:dLbl>
              <c:idx val="10"/>
              <c:layout>
                <c:manualLayout>
                  <c:x val="-3.3237171607031303E-2"/>
                  <c:y val="-6.558615336702003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115E-4BAA-8348-EAB7B407DB4A}"/>
                </c:ext>
              </c:extLst>
            </c:dLbl>
            <c:dLbl>
              <c:idx val="12"/>
              <c:layout>
                <c:manualLayout>
                  <c:x val="-1.5231832070420948E-2"/>
                  <c:y val="-7.000179860891482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115E-4BAA-8348-EAB7B407DB4A}"/>
                </c:ext>
              </c:extLst>
            </c:dLbl>
            <c:dLbl>
              <c:idx val="13"/>
              <c:layout>
                <c:manualLayout>
                  <c:x val="-1.5117635811852175E-3"/>
                  <c:y val="-8.840736198392598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115E-4BAA-8348-EAB7B407DB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'2026.06'!$A$2:$A$27</c15:sqref>
                  </c15:fullRef>
                </c:ext>
              </c:extLst>
              <c:f>'2026.06'!$A$3:$A$16</c:f>
              <c:strCache>
                <c:ptCount val="14"/>
                <c:pt idx="0">
                  <c:v>컨트롤</c:v>
                </c:pt>
                <c:pt idx="1">
                  <c:v>캠페인</c:v>
                </c:pt>
                <c:pt idx="2">
                  <c:v>대전</c:v>
                </c:pt>
                <c:pt idx="3">
                  <c:v>디펜스</c:v>
                </c:pt>
                <c:pt idx="4">
                  <c:v>컴까기</c:v>
                </c:pt>
                <c:pt idx="5">
                  <c:v>기타</c:v>
                </c:pt>
                <c:pt idx="6">
                  <c:v>RPG</c:v>
                </c:pt>
                <c:pt idx="7">
                  <c:v>서바이벌</c:v>
                </c:pt>
                <c:pt idx="8">
                  <c:v>AOS</c:v>
                </c:pt>
                <c:pt idx="9">
                  <c:v>퍼즐</c:v>
                </c:pt>
                <c:pt idx="10">
                  <c:v>밀리기반</c:v>
                </c:pt>
                <c:pt idx="11">
                  <c:v>영상</c:v>
                </c:pt>
                <c:pt idx="12">
                  <c:v>디플로메시</c:v>
                </c:pt>
                <c:pt idx="13">
                  <c:v>미니게임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'2026.06'!$B$2:$B$27</c15:sqref>
                  </c15:fullRef>
                </c:ext>
              </c:extLst>
              <c:f>'2026.06'!$B$3:$B$16</c:f>
              <c:numCache>
                <c:formatCode>General</c:formatCode>
                <c:ptCount val="14"/>
                <c:pt idx="0">
                  <c:v>23</c:v>
                </c:pt>
                <c:pt idx="1">
                  <c:v>12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'2026.06'!$B$2</c15:sqref>
                  <c15:bubble3D val="0"/>
                </c15:categoryFilterException>
                <c15:categoryFilterException>
                  <c15:sqref>'2026.06'!$B$17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2.8910309830729296E-3"/>
                        <c:y val="-2.5809233180994779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4AA0-4E33-A40B-6CAE9AC5909F}"/>
                      </c:ext>
                    </c:extLst>
                  </c15:dLbl>
                </c15:categoryFilterException>
                <c15:categoryFilterException>
                  <c15:sqref>'2026.06'!$B$18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4.9713992440231451E-3"/>
                        <c:y val="-2.9099641324388708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3-4AA0-4E33-A40B-6CAE9AC5909F}"/>
                      </c:ext>
                    </c:extLst>
                  </c15:dLbl>
                </c15:categoryFilterException>
                <c15:categoryFilterException>
                  <c15:sqref>'2026.06'!$B$19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'2026.06'!$B$20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2.5673362813634203E-3"/>
                        <c:y val="-6.1864903949502317E-5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4AA0-4E33-A40B-6CAE9AC5909F}"/>
                      </c:ext>
                    </c:extLst>
                  </c15:dLbl>
                </c15:categoryFilterException>
                <c15:categoryFilterException>
                  <c15:sqref>'2026.06'!$B$21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9.2068089489464294E-2"/>
                        <c:y val="-5.8788457839721836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4AA0-4E33-A40B-6CAE9AC5909F}"/>
                      </c:ext>
                    </c:extLst>
                  </c15:dLbl>
                </c15:categoryFilterException>
                <c15:categoryFilterException>
                  <c15:sqref>'2026.06'!$B$22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'2026.06'!$B$23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4.346706495533096E-3"/>
                        <c:y val="-7.9595888388068178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4AA0-4E33-A40B-6CAE9AC5909F}"/>
                      </c:ext>
                    </c:extLst>
                  </c15:dLbl>
                </c15:categoryFilterException>
                <c15:categoryFilterException>
                  <c15:sqref>'2026.06'!$B$24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'2026.06'!$B$25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3.1611330597931448E-3"/>
                        <c:y val="-1.2406176592010313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4AA0-4E33-A40B-6CAE9AC5909F}"/>
                      </c:ext>
                    </c:extLst>
                  </c15:dLbl>
                </c15:categoryFilterException>
                <c15:categoryFilterException>
                  <c15:sqref>'2026.06'!$B$26</c15:sqref>
                  <c15:spPr xmlns:c15="http://schemas.microsoft.com/office/drawing/2012/chart">
                    <a:solidFill>
                      <a:schemeClr val="accent6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4.5274479203863691E-3"/>
                        <c:y val="-8.8149943627492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4AA0-4E33-A40B-6CAE9AC5909F}"/>
                      </c:ext>
                    </c:extLst>
                  </c15:dLbl>
                </c15:categoryFilterException>
                <c15:categoryFilterException>
                  <c15:sqref>'2026.06'!$B$27</c15:sqref>
                  <c15:spPr xmlns:c15="http://schemas.microsoft.com/office/drawing/2012/chart"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7.7239925150947611E-6"/>
                        <c:y val="-2.8124891862159529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5-4AA0-4E33-A40B-6CAE9AC5909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5-115E-4BAA-8348-EAB7B407D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'2026.07'!$B$1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A9B-4A36-9B05-DE971DD2C3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A9B-4A36-9B05-DE971DD2C3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A9B-4A36-9B05-DE971DD2C3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A9B-4A36-9B05-DE971DD2C3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A9B-4A36-9B05-DE971DD2C3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A9B-4A36-9B05-DE971DD2C348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A9B-4A36-9B05-DE971DD2C34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A9B-4A36-9B05-DE971DD2C348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A9B-4A36-9B05-DE971DD2C348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A9B-4A36-9B05-DE971DD2C34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A9B-4A36-9B05-DE971DD2C34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A9B-4A36-9B05-DE971DD2C34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A9B-4A36-9B05-DE971DD2C34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A9B-4A36-9B05-DE971DD2C3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'2026.07'!$A$2:$A$28</c15:sqref>
                  </c15:fullRef>
                </c:ext>
              </c:extLst>
              <c:f>'2026.07'!$A$2:$A$15</c:f>
              <c:strCache>
                <c:ptCount val="14"/>
                <c:pt idx="0">
                  <c:v>맞히기</c:v>
                </c:pt>
                <c:pt idx="1">
                  <c:v>캠페인</c:v>
                </c:pt>
                <c:pt idx="2">
                  <c:v>디펜스</c:v>
                </c:pt>
                <c:pt idx="3">
                  <c:v>RPG</c:v>
                </c:pt>
                <c:pt idx="4">
                  <c:v>대전</c:v>
                </c:pt>
                <c:pt idx="5">
                  <c:v>슈팅</c:v>
                </c:pt>
                <c:pt idx="6">
                  <c:v>컨트롤</c:v>
                </c:pt>
                <c:pt idx="7">
                  <c:v>서바이벌</c:v>
                </c:pt>
                <c:pt idx="8">
                  <c:v>호환요청</c:v>
                </c:pt>
                <c:pt idx="9">
                  <c:v>어드벤처</c:v>
                </c:pt>
                <c:pt idx="10">
                  <c:v>디플로메시</c:v>
                </c:pt>
                <c:pt idx="11">
                  <c:v>공포</c:v>
                </c:pt>
                <c:pt idx="12">
                  <c:v>리듬게임</c:v>
                </c:pt>
                <c:pt idx="13">
                  <c:v>블러드</c:v>
                </c:pt>
                <c:pt idx="14">
                  <c:v>추리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'2026.07'!$B$2:$B$27</c15:sqref>
                  </c15:fullRef>
                </c:ext>
              </c:extLst>
              <c:f>'2026.07'!$B$2:$B$15</c:f>
              <c:numCache>
                <c:formatCode>General</c:formatCode>
                <c:ptCount val="14"/>
                <c:pt idx="0">
                  <c:v>55</c:v>
                </c:pt>
                <c:pt idx="1">
                  <c:v>13</c:v>
                </c:pt>
                <c:pt idx="2">
                  <c:v>10</c:v>
                </c:pt>
                <c:pt idx="3">
                  <c:v>8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'2026.07'!$B$16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'2026.07'!$B$23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E-1A9B-4A36-9B05-DE971DD2C348}"/>
            </c:ext>
          </c:extLst>
        </c:ser>
        <c:ser>
          <c:idx val="0"/>
          <c:order val="1"/>
          <c:tx>
            <c:strRef>
              <c:f>'2026.07'!$B$1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0-1A9B-4A36-9B05-DE971DD2C3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2-1A9B-4A36-9B05-DE971DD2C3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1A9B-4A36-9B05-DE971DD2C3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1A9B-4A36-9B05-DE971DD2C3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1A9B-4A36-9B05-DE971DD2C3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1A9B-4A36-9B05-DE971DD2C348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1A9B-4A36-9B05-DE971DD2C34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1A9B-4A36-9B05-DE971DD2C348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1A9B-4A36-9B05-DE971DD2C348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1A9B-4A36-9B05-DE971DD2C34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1A9B-4A36-9B05-DE971DD2C34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1A9B-4A36-9B05-DE971DD2C34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1A9B-4A36-9B05-DE971DD2C34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1A9B-4A36-9B05-DE971DD2C348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1A9B-4A36-9B05-DE971DD2C348}"/>
                </c:ext>
              </c:extLst>
            </c:dLbl>
            <c:dLbl>
              <c:idx val="6"/>
              <c:layout>
                <c:manualLayout>
                  <c:x val="-3.3948137435201552E-3"/>
                  <c:y val="-5.0410871143007959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1A9B-4A36-9B05-DE971DD2C348}"/>
                </c:ext>
              </c:extLst>
            </c:dLbl>
            <c:dLbl>
              <c:idx val="7"/>
              <c:layout>
                <c:manualLayout>
                  <c:x val="-8.9854839573624751E-2"/>
                  <c:y val="-5.449043744634588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1A9B-4A36-9B05-DE971DD2C348}"/>
                </c:ext>
              </c:extLst>
            </c:dLbl>
            <c:dLbl>
              <c:idx val="8"/>
              <c:layout>
                <c:manualLayout>
                  <c:x val="-9.8261526832955373E-2"/>
                  <c:y val="-6.543966577678313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1A9B-4A36-9B05-DE971DD2C348}"/>
                </c:ext>
              </c:extLst>
            </c:dLbl>
            <c:dLbl>
              <c:idx val="9"/>
              <c:layout>
                <c:manualLayout>
                  <c:x val="-8.4576213687574828E-2"/>
                  <c:y val="-7.682429975746746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1A9B-4A36-9B05-DE971DD2C348}"/>
                </c:ext>
              </c:extLst>
            </c:dLbl>
            <c:dLbl>
              <c:idx val="10"/>
              <c:layout>
                <c:manualLayout>
                  <c:x val="-7.8567440974640079E-2"/>
                  <c:y val="-8.981261347410877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1A9B-4A36-9B05-DE971DD2C348}"/>
                </c:ext>
              </c:extLst>
            </c:dLbl>
            <c:dLbl>
              <c:idx val="11"/>
              <c:layout>
                <c:manualLayout>
                  <c:x val="-2.1164021164021218E-2"/>
                  <c:y val="-0.1131560887390207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1A9B-4A36-9B05-DE971DD2C348}"/>
                </c:ext>
              </c:extLst>
            </c:dLbl>
            <c:dLbl>
              <c:idx val="12"/>
              <c:layout>
                <c:manualLayout>
                  <c:x val="-3.0234315948601664E-3"/>
                  <c:y val="-6.952964488783207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1A9B-4A36-9B05-DE971DD2C348}"/>
                </c:ext>
              </c:extLst>
            </c:dLbl>
            <c:dLbl>
              <c:idx val="13"/>
              <c:layout>
                <c:manualLayout>
                  <c:x val="4.8374905517762662E-2"/>
                  <c:y val="-6.543966577678310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1A9B-4A36-9B05-DE971DD2C3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'2026.07'!$A$2:$A$28</c15:sqref>
                  </c15:fullRef>
                </c:ext>
              </c:extLst>
              <c:f>'2026.07'!$A$2:$A$15</c:f>
              <c:strCache>
                <c:ptCount val="14"/>
                <c:pt idx="0">
                  <c:v>맞히기</c:v>
                </c:pt>
                <c:pt idx="1">
                  <c:v>캠페인</c:v>
                </c:pt>
                <c:pt idx="2">
                  <c:v>디펜스</c:v>
                </c:pt>
                <c:pt idx="3">
                  <c:v>RPG</c:v>
                </c:pt>
                <c:pt idx="4">
                  <c:v>대전</c:v>
                </c:pt>
                <c:pt idx="5">
                  <c:v>슈팅</c:v>
                </c:pt>
                <c:pt idx="6">
                  <c:v>컨트롤</c:v>
                </c:pt>
                <c:pt idx="7">
                  <c:v>서바이벌</c:v>
                </c:pt>
                <c:pt idx="8">
                  <c:v>호환요청</c:v>
                </c:pt>
                <c:pt idx="9">
                  <c:v>어드벤처</c:v>
                </c:pt>
                <c:pt idx="10">
                  <c:v>디플로메시</c:v>
                </c:pt>
                <c:pt idx="11">
                  <c:v>공포</c:v>
                </c:pt>
                <c:pt idx="12">
                  <c:v>리듬게임</c:v>
                </c:pt>
                <c:pt idx="13">
                  <c:v>블러드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'2026.07'!$B$2:$B$28</c15:sqref>
                  </c15:fullRef>
                </c:ext>
              </c:extLst>
              <c:f>'2026.07'!$B$2:$B$15</c:f>
              <c:numCache>
                <c:formatCode>General</c:formatCode>
                <c:ptCount val="14"/>
                <c:pt idx="0">
                  <c:v>55</c:v>
                </c:pt>
                <c:pt idx="1">
                  <c:v>13</c:v>
                </c:pt>
                <c:pt idx="2">
                  <c:v>10</c:v>
                </c:pt>
                <c:pt idx="3">
                  <c:v>8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'2026.07'!$B$16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1.5117157974300832E-3"/>
                        <c:y val="-0.1022494777762236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D-7B1E-469A-9D15-86FA0D2D3477}"/>
                      </c:ext>
                    </c:extLst>
                  </c15:dLbl>
                </c15:categoryFilterException>
                <c15:categoryFilterException>
                  <c15:sqref>'2026.07'!$B$23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1.9763005814749348E-2"/>
                        <c:y val="-0.11991872427862055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F-7B1E-469A-9D15-86FA0D2D3477}"/>
                      </c:ext>
                    </c:extLst>
                  </c15:dLbl>
                </c15:categoryFilterException>
                <c15:categoryFilterException>
                  <c15:sqref>'2026.07'!$B$28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9.0702947845804991E-3"/>
                        <c:y val="-7.498295036923065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1-7B1E-469A-9D15-86FA0D2D347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D-1A9B-4A36-9B05-DE971DD2C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'2026.07'!$B$1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8C-483C-AA64-5F8740A43C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8C-483C-AA64-5F8740A43C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8C-483C-AA64-5F8740A43C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D8C-483C-AA64-5F8740A43CE2}"/>
              </c:ext>
            </c:extLst>
          </c:dPt>
          <c:dPt>
            <c:idx val="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D8C-483C-AA64-5F8740A43CE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D8C-483C-AA64-5F8740A43CE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D8C-483C-AA64-5F8740A43CE2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D8C-483C-AA64-5F8740A43CE2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D8C-483C-AA64-5F8740A43CE2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D8C-483C-AA64-5F8740A43CE2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D8C-483C-AA64-5F8740A43CE2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D8C-483C-AA64-5F8740A43CE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D8C-483C-AA64-5F8740A43C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'2026.07'!$A$2:$A$27</c15:sqref>
                  </c15:fullRef>
                </c:ext>
              </c:extLst>
              <c:f>'2026.07'!$A$3:$A$15</c:f>
              <c:strCache>
                <c:ptCount val="13"/>
                <c:pt idx="0">
                  <c:v>캠페인</c:v>
                </c:pt>
                <c:pt idx="1">
                  <c:v>디펜스</c:v>
                </c:pt>
                <c:pt idx="2">
                  <c:v>RPG</c:v>
                </c:pt>
                <c:pt idx="3">
                  <c:v>대전</c:v>
                </c:pt>
                <c:pt idx="4">
                  <c:v>슈팅</c:v>
                </c:pt>
                <c:pt idx="5">
                  <c:v>컨트롤</c:v>
                </c:pt>
                <c:pt idx="6">
                  <c:v>서바이벌</c:v>
                </c:pt>
                <c:pt idx="7">
                  <c:v>호환요청</c:v>
                </c:pt>
                <c:pt idx="8">
                  <c:v>어드벤처</c:v>
                </c:pt>
                <c:pt idx="9">
                  <c:v>디플로메시</c:v>
                </c:pt>
                <c:pt idx="10">
                  <c:v>공포</c:v>
                </c:pt>
                <c:pt idx="11">
                  <c:v>리듬게임</c:v>
                </c:pt>
                <c:pt idx="12">
                  <c:v>블러드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'2026.07'!$B$2:$B$27</c15:sqref>
                  </c15:fullRef>
                </c:ext>
              </c:extLst>
              <c:f>'2026.07'!$B$3:$B$15</c:f>
              <c:numCache>
                <c:formatCode>General</c:formatCode>
                <c:ptCount val="13"/>
                <c:pt idx="0">
                  <c:v>13</c:v>
                </c:pt>
                <c:pt idx="1">
                  <c:v>10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'2026.07'!$B$2</c15:sqref>
                  <c15:bubble3D val="0"/>
                </c15:categoryFilterException>
                <c15:categoryFilterException>
                  <c15:sqref>'2026.07'!$B$16</c15:sqref>
                  <c15:spPr xmlns:c15="http://schemas.microsoft.com/office/drawing/2012/chart"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'2026.07'!$B$17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'2026.07'!$B$18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'2026.07'!$B$19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'2026.07'!$B$20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'2026.07'!$B$21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'2026.07'!$B$22</c15:sqref>
                  <c15:spPr xmlns:c15="http://schemas.microsoft.com/office/drawing/2012/chart"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'2026.07'!$B$23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'2026.07'!$B$24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'2026.07'!$B$25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'2026.07'!$B$26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'2026.07'!$B$27</c15:sqref>
                  <c15:spPr xmlns:c15="http://schemas.microsoft.com/office/drawing/2012/chart">
                    <a:solidFill>
                      <a:schemeClr val="accent6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C-8D8C-483C-AA64-5F8740A43CE2}"/>
            </c:ext>
          </c:extLst>
        </c:ser>
        <c:ser>
          <c:idx val="0"/>
          <c:order val="1"/>
          <c:tx>
            <c:strRef>
              <c:f>'2026.07'!$B$1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8D8C-483C-AA64-5F8740A43C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8D8C-483C-AA64-5F8740A43C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8D8C-483C-AA64-5F8740A43C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8D8C-483C-AA64-5F8740A43CE2}"/>
              </c:ext>
            </c:extLst>
          </c:dPt>
          <c:dPt>
            <c:idx val="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8D8C-483C-AA64-5F8740A43CE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8D8C-483C-AA64-5F8740A43CE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8D8C-483C-AA64-5F8740A43CE2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8D8C-483C-AA64-5F8740A43CE2}"/>
              </c:ext>
            </c:extLst>
          </c:dPt>
          <c:dPt>
            <c:idx val="8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8D8C-483C-AA64-5F8740A43CE2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8D8C-483C-AA64-5F8740A43CE2}"/>
              </c:ext>
            </c:extLst>
          </c:dPt>
          <c:dPt>
            <c:idx val="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8D8C-483C-AA64-5F8740A43CE2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8D8C-483C-AA64-5F8740A43CE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8D8C-483C-AA64-5F8740A43CE2}"/>
              </c:ext>
            </c:extLst>
          </c:dPt>
          <c:dLbls>
            <c:dLbl>
              <c:idx val="5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D8C-483C-AA64-5F8740A43CE2}"/>
                </c:ext>
              </c:extLst>
            </c:dLbl>
            <c:dLbl>
              <c:idx val="6"/>
              <c:layout>
                <c:manualLayout>
                  <c:x val="-3.2347486499946744E-3"/>
                  <c:y val="-1.597724015332034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A-8D8C-483C-AA64-5F8740A43CE2}"/>
                </c:ext>
              </c:extLst>
            </c:dLbl>
            <c:dLbl>
              <c:idx val="7"/>
              <c:layout>
                <c:manualLayout>
                  <c:x val="-4.9713992440231451E-3"/>
                  <c:y val="-2.909964132438870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D8C-483C-AA64-5F8740A43CE2}"/>
                </c:ext>
              </c:extLst>
            </c:dLbl>
            <c:dLbl>
              <c:idx val="8"/>
              <c:layout>
                <c:manualLayout>
                  <c:x val="-4.5374296953288977E-3"/>
                  <c:y val="-3.854434999400463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D8C-483C-AA64-5F8740A43CE2}"/>
                </c:ext>
              </c:extLst>
            </c:dLbl>
            <c:dLbl>
              <c:idx val="9"/>
              <c:layout>
                <c:manualLayout>
                  <c:x val="-9.3707596023783771E-2"/>
                  <c:y val="-5.978151528978527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D8C-483C-AA64-5F8740A43CE2}"/>
                </c:ext>
              </c:extLst>
            </c:dLbl>
            <c:dLbl>
              <c:idx val="11"/>
              <c:layout>
                <c:manualLayout>
                  <c:x val="-6.6545403945201476E-2"/>
                  <c:y val="-7.022753006332554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8D8C-483C-AA64-5F8740A43CE2}"/>
                </c:ext>
              </c:extLst>
            </c:dLbl>
            <c:dLbl>
              <c:idx val="12"/>
              <c:layout>
                <c:manualLayout>
                  <c:x val="-7.7239925150947611E-6"/>
                  <c:y val="-2.8124891862159529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8D8C-483C-AA64-5F8740A43C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'2026.07'!$A$2:$A$27</c15:sqref>
                  </c15:fullRef>
                </c:ext>
              </c:extLst>
              <c:f>'2026.07'!$A$3:$A$15</c:f>
              <c:strCache>
                <c:ptCount val="13"/>
                <c:pt idx="0">
                  <c:v>캠페인</c:v>
                </c:pt>
                <c:pt idx="1">
                  <c:v>디펜스</c:v>
                </c:pt>
                <c:pt idx="2">
                  <c:v>RPG</c:v>
                </c:pt>
                <c:pt idx="3">
                  <c:v>대전</c:v>
                </c:pt>
                <c:pt idx="4">
                  <c:v>슈팅</c:v>
                </c:pt>
                <c:pt idx="5">
                  <c:v>컨트롤</c:v>
                </c:pt>
                <c:pt idx="6">
                  <c:v>서바이벌</c:v>
                </c:pt>
                <c:pt idx="7">
                  <c:v>호환요청</c:v>
                </c:pt>
                <c:pt idx="8">
                  <c:v>어드벤처</c:v>
                </c:pt>
                <c:pt idx="9">
                  <c:v>디플로메시</c:v>
                </c:pt>
                <c:pt idx="10">
                  <c:v>공포</c:v>
                </c:pt>
                <c:pt idx="11">
                  <c:v>리듬게임</c:v>
                </c:pt>
                <c:pt idx="12">
                  <c:v>블러드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'2026.07'!$B$2:$B$27</c15:sqref>
                  </c15:fullRef>
                </c:ext>
              </c:extLst>
              <c:f>'2026.07'!$B$3:$B$15</c:f>
              <c:numCache>
                <c:formatCode>General</c:formatCode>
                <c:ptCount val="13"/>
                <c:pt idx="0">
                  <c:v>13</c:v>
                </c:pt>
                <c:pt idx="1">
                  <c:v>10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'2026.07'!$B$2</c15:sqref>
                  <c15:bubble3D val="0"/>
                </c15:categoryFilterException>
                <c15:categoryFilterException>
                  <c15:sqref>'2026.07'!$B$16</c15:sqref>
                  <c15:spPr xmlns:c15="http://schemas.microsoft.com/office/drawing/2012/chart"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'2026.07'!$B$17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2"/>
                    <c:layout>
                      <c:manualLayout>
                        <c:x val="-1.4233535745508193E-3"/>
                        <c:y val="-4.2789388931675524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CC5F-4959-86D9-39DE8DBB583F}"/>
                      </c:ext>
                    </c:extLst>
                  </c15:dLbl>
                </c15:categoryFilterException>
                <c15:categoryFilterException>
                  <c15:sqref>'2026.07'!$B$18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'2026.07'!$B$19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2"/>
                    <c:layout>
                      <c:manualLayout>
                        <c:x val="-2.8676213442195165E-3"/>
                        <c:y val="-3.3156570716715477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CC5F-4959-86D9-39DE8DBB583F}"/>
                      </c:ext>
                    </c:extLst>
                  </c15:dLbl>
                </c15:categoryFilterException>
                <c15:categoryFilterException>
                  <c15:sqref>'2026.07'!$B$20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2"/>
                    <c:layout>
                      <c:manualLayout>
                        <c:x val="-3.3237171607031303E-2"/>
                        <c:y val="-6.558615336702003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CC5F-4959-86D9-39DE8DBB583F}"/>
                      </c:ext>
                    </c:extLst>
                  </c15:dLbl>
                </c15:categoryFilterException>
                <c15:categoryFilterException>
                  <c15:sqref>'2026.07'!$B$21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'2026.07'!$B$22</c15:sqref>
                  <c15:spPr xmlns:c15="http://schemas.microsoft.com/office/drawing/2012/chart"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2"/>
                    <c:layout>
                      <c:manualLayout>
                        <c:x val="-1.5117635811852175E-3"/>
                        <c:y val="-8.8407361983925986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CC5F-4959-86D9-39DE8DBB583F}"/>
                      </c:ext>
                    </c:extLst>
                  </c15:dLbl>
                </c15:categoryFilterException>
                <c15:categoryFilterException>
                  <c15:sqref>'2026.07'!$B$23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2"/>
                    <c:layout>
                      <c:manualLayout>
                        <c:x val="-2.8910309830729296E-3"/>
                        <c:y val="-2.5809233180994779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CC5F-4959-86D9-39DE8DBB583F}"/>
                      </c:ext>
                    </c:extLst>
                  </c15:dLbl>
                </c15:categoryFilterException>
                <c15:categoryFilterException>
                  <c15:sqref>'2026.07'!$B$24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2"/>
                    <c:layout>
                      <c:manualLayout>
                        <c:x val="-2.5673362813634203E-3"/>
                        <c:y val="-6.1864903949502317E-5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F-CC5F-4959-86D9-39DE8DBB583F}"/>
                      </c:ext>
                    </c:extLst>
                  </c15:dLbl>
                </c15:categoryFilterException>
                <c15:categoryFilterException>
                  <c15:sqref>'2026.07'!$B$25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2"/>
                    <c:layout>
                      <c:manualLayout>
                        <c:x val="-4.346706495533096E-3"/>
                        <c:y val="-7.9595888388068178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CC5F-4959-86D9-39DE8DBB583F}"/>
                      </c:ext>
                    </c:extLst>
                  </c15:dLbl>
                </c15:categoryFilterException>
                <c15:categoryFilterException>
                  <c15:sqref>'2026.07'!$B$26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'2026.07'!$B$27</c15:sqref>
                  <c15:spPr xmlns:c15="http://schemas.microsoft.com/office/drawing/2012/chart">
                    <a:solidFill>
                      <a:schemeClr val="accent6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2"/>
                    <c:layout>
                      <c:manualLayout>
                        <c:x val="-4.5274479203863691E-3"/>
                        <c:y val="-8.8149943627492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5-CC5F-4959-86D9-39DE8DBB583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9-8D8C-483C-AA64-5F8740A43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'2026.08'!$B$1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E5D-4007-9DC1-9D952DBB09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E5D-4007-9DC1-9D952DBB09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E5D-4007-9DC1-9D952DBB09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E5D-4007-9DC1-9D952DBB09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E5D-4007-9DC1-9D952DBB09B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E5D-4007-9DC1-9D952DBB09BA}"/>
              </c:ext>
            </c:extLst>
          </c:dPt>
          <c:dPt>
            <c:idx val="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E5D-4007-9DC1-9D952DBB09B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E5D-4007-9DC1-9D952DBB09BA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E5D-4007-9DC1-9D952DBB09BA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E5D-4007-9DC1-9D952DBB09B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E5D-4007-9DC1-9D952DBB09B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E5D-4007-9DC1-9D952DBB09B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E5D-4007-9DC1-9D952DBB09B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E5D-4007-9DC1-9D952DBB09B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CE5D-4007-9DC1-9D952DBB09B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2FE-4004-B0FA-556C5B96F1A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52FE-4004-B0FA-556C5B96F1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'2026.08'!$A$2:$A$28</c15:sqref>
                  </c15:fullRef>
                </c:ext>
              </c:extLst>
              <c:f>'2026.08'!$A$2:$A$18</c:f>
              <c:strCache>
                <c:ptCount val="17"/>
                <c:pt idx="0">
                  <c:v>맞히기</c:v>
                </c:pt>
                <c:pt idx="1">
                  <c:v>대전</c:v>
                </c:pt>
                <c:pt idx="2">
                  <c:v>컨트롤</c:v>
                </c:pt>
                <c:pt idx="3">
                  <c:v>RPG</c:v>
                </c:pt>
                <c:pt idx="4">
                  <c:v>캠페인</c:v>
                </c:pt>
                <c:pt idx="5">
                  <c:v>디펜스</c:v>
                </c:pt>
                <c:pt idx="6">
                  <c:v>컴까기</c:v>
                </c:pt>
                <c:pt idx="7">
                  <c:v>키우기</c:v>
                </c:pt>
                <c:pt idx="8">
                  <c:v>어드벤처</c:v>
                </c:pt>
                <c:pt idx="9">
                  <c:v>레이싱</c:v>
                </c:pt>
                <c:pt idx="10">
                  <c:v>슈팅</c:v>
                </c:pt>
                <c:pt idx="11">
                  <c:v>서바이벌</c:v>
                </c:pt>
                <c:pt idx="12">
                  <c:v>디플로메시</c:v>
                </c:pt>
                <c:pt idx="13">
                  <c:v>공포</c:v>
                </c:pt>
                <c:pt idx="14">
                  <c:v>기타</c:v>
                </c:pt>
                <c:pt idx="15">
                  <c:v>퍼즐</c:v>
                </c:pt>
                <c:pt idx="16">
                  <c:v>탈출</c:v>
                </c:pt>
                <c:pt idx="17">
                  <c:v>추리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'2026.08'!$B$2:$B$27</c15:sqref>
                  </c15:fullRef>
                </c:ext>
              </c:extLst>
              <c:f>'2026.08'!$B$2:$B$18</c:f>
              <c:numCache>
                <c:formatCode>General</c:formatCode>
                <c:ptCount val="17"/>
                <c:pt idx="0">
                  <c:v>54</c:v>
                </c:pt>
                <c:pt idx="1">
                  <c:v>13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'2026.08'!$B$26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C-CE5D-4007-9DC1-9D952DBB09BA}"/>
            </c:ext>
          </c:extLst>
        </c:ser>
        <c:ser>
          <c:idx val="0"/>
          <c:order val="1"/>
          <c:tx>
            <c:strRef>
              <c:f>'2026.08'!$B$1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E-CE5D-4007-9DC1-9D952DBB09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0-CE5D-4007-9DC1-9D952DBB09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2-CE5D-4007-9DC1-9D952DBB09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CE5D-4007-9DC1-9D952DBB09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CE5D-4007-9DC1-9D952DBB09B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CE5D-4007-9DC1-9D952DBB09BA}"/>
              </c:ext>
            </c:extLst>
          </c:dPt>
          <c:dPt>
            <c:idx val="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CE5D-4007-9DC1-9D952DBB09B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CE5D-4007-9DC1-9D952DBB09BA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CE5D-4007-9DC1-9D952DBB09BA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CE5D-4007-9DC1-9D952DBB09B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CE5D-4007-9DC1-9D952DBB09B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CE5D-4007-9DC1-9D952DBB09B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CE5D-4007-9DC1-9D952DBB09B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CE5D-4007-9DC1-9D952DBB09B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F-CE5D-4007-9DC1-9D952DBB09B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5-CE5D-4007-9DC1-9D952DBB09BA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4-CE5D-4007-9DC1-9D952DBB09BA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E5D-4007-9DC1-9D952DBB09BA}"/>
                </c:ext>
              </c:extLst>
            </c:dLbl>
            <c:dLbl>
              <c:idx val="6"/>
              <c:layout>
                <c:manualLayout>
                  <c:x val="1.5093845897661583E-3"/>
                  <c:y val="-1.65390791373414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E5D-4007-9DC1-9D952DBB09BA}"/>
                </c:ext>
              </c:extLst>
            </c:dLbl>
            <c:dLbl>
              <c:idx val="7"/>
              <c:layout>
                <c:manualLayout>
                  <c:x val="-6.7733187430120811E-3"/>
                  <c:y val="-2.8690388209259322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E5D-4007-9DC1-9D952DBB09BA}"/>
                </c:ext>
              </c:extLst>
            </c:dLbl>
            <c:dLbl>
              <c:idx val="8"/>
              <c:layout>
                <c:manualLayout>
                  <c:x val="-9.8261526832955373E-2"/>
                  <c:y val="-6.543966577678313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E5D-4007-9DC1-9D952DBB09BA}"/>
                </c:ext>
              </c:extLst>
            </c:dLbl>
            <c:dLbl>
              <c:idx val="9"/>
              <c:layout>
                <c:manualLayout>
                  <c:x val="-8.4576213687574828E-2"/>
                  <c:y val="-7.682429975746746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E5D-4007-9DC1-9D952DBB09BA}"/>
                </c:ext>
              </c:extLst>
            </c:dLbl>
            <c:dLbl>
              <c:idx val="10"/>
              <c:layout>
                <c:manualLayout>
                  <c:x val="-7.8567440974640079E-2"/>
                  <c:y val="-8.981261347410877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E5D-4007-9DC1-9D952DBB09BA}"/>
                </c:ext>
              </c:extLst>
            </c:dLbl>
            <c:dLbl>
              <c:idx val="11"/>
              <c:layout>
                <c:manualLayout>
                  <c:x val="-4.0801436829459817E-2"/>
                  <c:y val="-9.330170942727511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E5D-4007-9DC1-9D952DBB09BA}"/>
                </c:ext>
              </c:extLst>
            </c:dLbl>
            <c:dLbl>
              <c:idx val="12"/>
              <c:layout>
                <c:manualLayout>
                  <c:x val="-2.2660870185788766E-2"/>
                  <c:y val="-0.1237983789430393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E5D-4007-9DC1-9D952DBB09BA}"/>
                </c:ext>
              </c:extLst>
            </c:dLbl>
            <c:dLbl>
              <c:idx val="13"/>
              <c:layout>
                <c:manualLayout>
                  <c:x val="-1.6579798748721366E-2"/>
                  <c:y val="-7.470506837469391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E5D-4007-9DC1-9D952DBB09BA}"/>
                </c:ext>
              </c:extLst>
            </c:dLbl>
            <c:dLbl>
              <c:idx val="14"/>
              <c:layout>
                <c:manualLayout>
                  <c:x val="-6.0422960725075529E-3"/>
                  <c:y val="-9.530111515019877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E5D-4007-9DC1-9D952DBB09BA}"/>
                </c:ext>
              </c:extLst>
            </c:dLbl>
            <c:dLbl>
              <c:idx val="15"/>
              <c:layout>
                <c:manualLayout>
                  <c:x val="-7.5528700906344415E-3"/>
                  <c:y val="-7.544671616057403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E5D-4007-9DC1-9D952DBB09BA}"/>
                </c:ext>
              </c:extLst>
            </c:dLbl>
            <c:dLbl>
              <c:idx val="16"/>
              <c:layout>
                <c:manualLayout>
                  <c:x val="1.5105740181268882E-3"/>
                  <c:y val="-9.133023535227384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E5D-4007-9DC1-9D952DBB09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'2026.08'!$A$2:$A$28</c15:sqref>
                  </c15:fullRef>
                </c:ext>
              </c:extLst>
              <c:f>'2026.08'!$A$2:$A$18</c:f>
              <c:strCache>
                <c:ptCount val="17"/>
                <c:pt idx="0">
                  <c:v>맞히기</c:v>
                </c:pt>
                <c:pt idx="1">
                  <c:v>대전</c:v>
                </c:pt>
                <c:pt idx="2">
                  <c:v>컨트롤</c:v>
                </c:pt>
                <c:pt idx="3">
                  <c:v>RPG</c:v>
                </c:pt>
                <c:pt idx="4">
                  <c:v>캠페인</c:v>
                </c:pt>
                <c:pt idx="5">
                  <c:v>디펜스</c:v>
                </c:pt>
                <c:pt idx="6">
                  <c:v>컴까기</c:v>
                </c:pt>
                <c:pt idx="7">
                  <c:v>키우기</c:v>
                </c:pt>
                <c:pt idx="8">
                  <c:v>어드벤처</c:v>
                </c:pt>
                <c:pt idx="9">
                  <c:v>레이싱</c:v>
                </c:pt>
                <c:pt idx="10">
                  <c:v>슈팅</c:v>
                </c:pt>
                <c:pt idx="11">
                  <c:v>서바이벌</c:v>
                </c:pt>
                <c:pt idx="12">
                  <c:v>디플로메시</c:v>
                </c:pt>
                <c:pt idx="13">
                  <c:v>공포</c:v>
                </c:pt>
                <c:pt idx="14">
                  <c:v>기타</c:v>
                </c:pt>
                <c:pt idx="15">
                  <c:v>퍼즐</c:v>
                </c:pt>
                <c:pt idx="16">
                  <c:v>탈출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'2026.08'!$B$2:$B$28</c15:sqref>
                  </c15:fullRef>
                </c:ext>
              </c:extLst>
              <c:f>'2026.08'!$B$2:$B$18</c:f>
              <c:numCache>
                <c:formatCode>General</c:formatCode>
                <c:ptCount val="17"/>
                <c:pt idx="0">
                  <c:v>54</c:v>
                </c:pt>
                <c:pt idx="1">
                  <c:v>13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'2026.08'!$B$26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-1.9763005814749348E-2"/>
                        <c:y val="-0.11991872427862055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7-52FE-4004-B0FA-556C5B96F1A0}"/>
                      </c:ext>
                    </c:extLst>
                  </c15:dLbl>
                </c15:categoryFilterException>
                <c15:categoryFilterException>
                  <c15:sqref>'2026.08'!$B$28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6"/>
                    <c:layout>
                      <c:manualLayout>
                        <c:x val="9.0702947845804991E-3"/>
                        <c:y val="-7.498295036923065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52FE-4004-B0FA-556C5B96F1A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9-CE5D-4007-9DC1-9D952DBB0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'2026.08'!$B$1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417-49B2-9C29-812B5B4E5A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417-49B2-9C29-812B5B4E5A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417-49B2-9C29-812B5B4E5A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417-49B2-9C29-812B5B4E5A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417-49B2-9C29-812B5B4E5A1B}"/>
              </c:ext>
            </c:extLst>
          </c:dPt>
          <c:dPt>
            <c:idx val="5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417-49B2-9C29-812B5B4E5A1B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417-49B2-9C29-812B5B4E5A1B}"/>
              </c:ext>
            </c:extLst>
          </c:dPt>
          <c:dPt>
            <c:idx val="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417-49B2-9C29-812B5B4E5A1B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417-49B2-9C29-812B5B4E5A1B}"/>
              </c:ext>
            </c:extLst>
          </c:dPt>
          <c:dPt>
            <c:idx val="9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417-49B2-9C29-812B5B4E5A1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417-49B2-9C29-812B5B4E5A1B}"/>
              </c:ext>
            </c:extLst>
          </c:dPt>
          <c:dPt>
            <c:idx val="1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417-49B2-9C29-812B5B4E5A1B}"/>
              </c:ext>
            </c:extLst>
          </c:dPt>
          <c:dPt>
            <c:idx val="1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417-49B2-9C29-812B5B4E5A1B}"/>
              </c:ext>
            </c:extLst>
          </c:dPt>
          <c:dPt>
            <c:idx val="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8417-49B2-9C29-812B5B4E5A1B}"/>
              </c:ext>
            </c:extLst>
          </c:dPt>
          <c:dPt>
            <c:idx val="1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8417-49B2-9C29-812B5B4E5A1B}"/>
              </c:ext>
            </c:extLst>
          </c:dPt>
          <c:dPt>
            <c:idx val="15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8417-49B2-9C29-812B5B4E5A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'2026.08'!$A$2:$A$27</c15:sqref>
                  </c15:fullRef>
                </c:ext>
              </c:extLst>
              <c:f>'2026.08'!$A$3:$A$18</c:f>
              <c:strCache>
                <c:ptCount val="16"/>
                <c:pt idx="0">
                  <c:v>대전</c:v>
                </c:pt>
                <c:pt idx="1">
                  <c:v>컨트롤</c:v>
                </c:pt>
                <c:pt idx="2">
                  <c:v>RPG</c:v>
                </c:pt>
                <c:pt idx="3">
                  <c:v>캠페인</c:v>
                </c:pt>
                <c:pt idx="4">
                  <c:v>디펜스</c:v>
                </c:pt>
                <c:pt idx="5">
                  <c:v>컴까기</c:v>
                </c:pt>
                <c:pt idx="6">
                  <c:v>키우기</c:v>
                </c:pt>
                <c:pt idx="7">
                  <c:v>어드벤처</c:v>
                </c:pt>
                <c:pt idx="8">
                  <c:v>레이싱</c:v>
                </c:pt>
                <c:pt idx="9">
                  <c:v>슈팅</c:v>
                </c:pt>
                <c:pt idx="10">
                  <c:v>서바이벌</c:v>
                </c:pt>
                <c:pt idx="11">
                  <c:v>디플로메시</c:v>
                </c:pt>
                <c:pt idx="12">
                  <c:v>공포</c:v>
                </c:pt>
                <c:pt idx="13">
                  <c:v>기타</c:v>
                </c:pt>
                <c:pt idx="14">
                  <c:v>퍼즐</c:v>
                </c:pt>
                <c:pt idx="15">
                  <c:v>탈출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'2026.08'!$B$2:$B$27</c15:sqref>
                  </c15:fullRef>
                </c:ext>
              </c:extLst>
              <c:f>'2026.08'!$B$3:$B$18</c:f>
              <c:numCache>
                <c:formatCode>General</c:formatCode>
                <c:ptCount val="16"/>
                <c:pt idx="0">
                  <c:v>13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'2026.08'!$B$2</c15:sqref>
                  <c15:bubble3D val="0"/>
                </c15:categoryFilterException>
                <c15:categoryFilterException>
                  <c15:sqref>'2026.08'!$B$19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'2026.08'!$B$20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'2026.08'!$B$21</c15:sqref>
                  <c15:spPr xmlns:c15="http://schemas.microsoft.com/office/drawing/2012/chart"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'2026.08'!$B$22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'2026.08'!$B$23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'2026.08'!$B$24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'2026.08'!$B$25</c15:sqref>
                  <c15:spPr xmlns:c15="http://schemas.microsoft.com/office/drawing/2012/chart"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'2026.08'!$B$26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'2026.08'!$B$27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A-8417-49B2-9C29-812B5B4E5A1B}"/>
            </c:ext>
          </c:extLst>
        </c:ser>
        <c:ser>
          <c:idx val="0"/>
          <c:order val="1"/>
          <c:tx>
            <c:strRef>
              <c:f>'2026.08'!$B$1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8417-49B2-9C29-812B5B4E5A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8417-49B2-9C29-812B5B4E5A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8417-49B2-9C29-812B5B4E5A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8417-49B2-9C29-812B5B4E5A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8417-49B2-9C29-812B5B4E5A1B}"/>
              </c:ext>
            </c:extLst>
          </c:dPt>
          <c:dPt>
            <c:idx val="5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8417-49B2-9C29-812B5B4E5A1B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8417-49B2-9C29-812B5B4E5A1B}"/>
              </c:ext>
            </c:extLst>
          </c:dPt>
          <c:dPt>
            <c:idx val="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8417-49B2-9C29-812B5B4E5A1B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8417-49B2-9C29-812B5B4E5A1B}"/>
              </c:ext>
            </c:extLst>
          </c:dPt>
          <c:dPt>
            <c:idx val="9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8417-49B2-9C29-812B5B4E5A1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8417-49B2-9C29-812B5B4E5A1B}"/>
              </c:ext>
            </c:extLst>
          </c:dPt>
          <c:dPt>
            <c:idx val="1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8417-49B2-9C29-812B5B4E5A1B}"/>
              </c:ext>
            </c:extLst>
          </c:dPt>
          <c:dPt>
            <c:idx val="1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8417-49B2-9C29-812B5B4E5A1B}"/>
              </c:ext>
            </c:extLst>
          </c:dPt>
          <c:dPt>
            <c:idx val="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8417-49B2-9C29-812B5B4E5A1B}"/>
              </c:ext>
            </c:extLst>
          </c:dPt>
          <c:dPt>
            <c:idx val="1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8417-49B2-9C29-812B5B4E5A1B}"/>
              </c:ext>
            </c:extLst>
          </c:dPt>
          <c:dPt>
            <c:idx val="15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8417-49B2-9C29-812B5B4E5A1B}"/>
              </c:ext>
            </c:extLst>
          </c:dPt>
          <c:dLbls>
            <c:dLbl>
              <c:idx val="1"/>
              <c:layout>
                <c:manualLayout>
                  <c:x val="-4.6409311950311675E-3"/>
                  <c:y val="-1.133988719060506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417-49B2-9C29-812B5B4E5A1B}"/>
                </c:ext>
              </c:extLst>
            </c:dLbl>
            <c:dLbl>
              <c:idx val="6"/>
              <c:layout>
                <c:manualLayout>
                  <c:x val="-2.5673362813634203E-3"/>
                  <c:y val="-6.1864903949502317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417-49B2-9C29-812B5B4E5A1B}"/>
                </c:ext>
              </c:extLst>
            </c:dLbl>
            <c:dLbl>
              <c:idx val="7"/>
              <c:layout>
                <c:manualLayout>
                  <c:x val="-4.5374296953288977E-3"/>
                  <c:y val="-3.854434999400463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417-49B2-9C29-812B5B4E5A1B}"/>
                </c:ext>
              </c:extLst>
            </c:dLbl>
            <c:dLbl>
              <c:idx val="8"/>
              <c:layout>
                <c:manualLayout>
                  <c:x val="-1.5114548902138015E-3"/>
                  <c:y val="-1.328975553998616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417-49B2-9C29-812B5B4E5A1B}"/>
                </c:ext>
              </c:extLst>
            </c:dLbl>
            <c:dLbl>
              <c:idx val="10"/>
              <c:layout>
                <c:manualLayout>
                  <c:x val="-0.10276349619737708"/>
                  <c:y val="-4.872910364661594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0-8417-49B2-9C29-812B5B4E5A1B}"/>
                </c:ext>
              </c:extLst>
            </c:dLbl>
            <c:dLbl>
              <c:idx val="11"/>
              <c:layout>
                <c:manualLayout>
                  <c:x val="-9.3707596023783771E-2"/>
                  <c:y val="-5.978151528978527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417-49B2-9C29-812B5B4E5A1B}"/>
                </c:ext>
              </c:extLst>
            </c:dLbl>
            <c:dLbl>
              <c:idx val="13"/>
              <c:layout>
                <c:manualLayout>
                  <c:x val="-1.4233535745508193E-3"/>
                  <c:y val="-4.278938893167552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8417-49B2-9C29-812B5B4E5A1B}"/>
                </c:ext>
              </c:extLst>
            </c:dLbl>
            <c:dLbl>
              <c:idx val="14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8417-49B2-9C29-812B5B4E5A1B}"/>
                </c:ext>
              </c:extLst>
            </c:dLbl>
            <c:dLbl>
              <c:idx val="15"/>
              <c:layout>
                <c:manualLayout>
                  <c:x val="-4.346706495533096E-3"/>
                  <c:y val="-7.959588838806817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8417-49B2-9C29-812B5B4E5A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'2026.08'!$A$2:$A$27</c15:sqref>
                  </c15:fullRef>
                </c:ext>
              </c:extLst>
              <c:f>'2026.08'!$A$3:$A$18</c:f>
              <c:strCache>
                <c:ptCount val="16"/>
                <c:pt idx="0">
                  <c:v>대전</c:v>
                </c:pt>
                <c:pt idx="1">
                  <c:v>컨트롤</c:v>
                </c:pt>
                <c:pt idx="2">
                  <c:v>RPG</c:v>
                </c:pt>
                <c:pt idx="3">
                  <c:v>캠페인</c:v>
                </c:pt>
                <c:pt idx="4">
                  <c:v>디펜스</c:v>
                </c:pt>
                <c:pt idx="5">
                  <c:v>컴까기</c:v>
                </c:pt>
                <c:pt idx="6">
                  <c:v>키우기</c:v>
                </c:pt>
                <c:pt idx="7">
                  <c:v>어드벤처</c:v>
                </c:pt>
                <c:pt idx="8">
                  <c:v>레이싱</c:v>
                </c:pt>
                <c:pt idx="9">
                  <c:v>슈팅</c:v>
                </c:pt>
                <c:pt idx="10">
                  <c:v>서바이벌</c:v>
                </c:pt>
                <c:pt idx="11">
                  <c:v>디플로메시</c:v>
                </c:pt>
                <c:pt idx="12">
                  <c:v>공포</c:v>
                </c:pt>
                <c:pt idx="13">
                  <c:v>기타</c:v>
                </c:pt>
                <c:pt idx="14">
                  <c:v>퍼즐</c:v>
                </c:pt>
                <c:pt idx="15">
                  <c:v>탈출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'2026.08'!$B$2:$B$27</c15:sqref>
                  </c15:fullRef>
                </c:ext>
              </c:extLst>
              <c:f>'2026.08'!$B$3:$B$18</c:f>
              <c:numCache>
                <c:formatCode>General</c:formatCode>
                <c:ptCount val="16"/>
                <c:pt idx="0">
                  <c:v>13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'2026.08'!$B$2</c15:sqref>
                  <c15:bubble3D val="0"/>
                </c15:categoryFilterException>
                <c15:categoryFilterException>
                  <c15:sqref>'2026.08'!$B$19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4.9713992440231451E-3"/>
                        <c:y val="-2.9099641324388708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5-984A-4033-B60B-AE969F380236}"/>
                      </c:ext>
                    </c:extLst>
                  </c15:dLbl>
                </c15:categoryFilterException>
                <c15:categoryFilterException>
                  <c15:sqref>'2026.08'!$B$20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6.6545403945201476E-2"/>
                        <c:y val="-7.0227530063325549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984A-4033-B60B-AE969F380236}"/>
                      </c:ext>
                    </c:extLst>
                  </c15:dLbl>
                </c15:categoryFilterException>
                <c15:categoryFilterException>
                  <c15:sqref>'2026.08'!$B$21</c15:sqref>
                  <c15:spPr xmlns:c15="http://schemas.microsoft.com/office/drawing/2012/chart"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7.7239925150947611E-6"/>
                        <c:y val="-2.8124891862159529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984A-4033-B60B-AE969F380236}"/>
                      </c:ext>
                    </c:extLst>
                  </c15:dLbl>
                </c15:categoryFilterException>
                <c15:categoryFilterException>
                  <c15:sqref>'2026.08'!$B$22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'2026.08'!$B$23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3.3237171607031303E-2"/>
                        <c:y val="-6.558615336702003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984A-4033-B60B-AE969F380236}"/>
                      </c:ext>
                    </c:extLst>
                  </c15:dLbl>
                </c15:categoryFilterException>
                <c15:categoryFilterException>
                  <c15:sqref>'2026.08'!$B$24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'2026.08'!$B$25</c15:sqref>
                  <c15:spPr xmlns:c15="http://schemas.microsoft.com/office/drawing/2012/chart"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1.5117635811852175E-3"/>
                        <c:y val="-8.8407361983925986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984A-4033-B60B-AE969F380236}"/>
                      </c:ext>
                    </c:extLst>
                  </c15:dLbl>
                </c15:categoryFilterException>
                <c15:categoryFilterException>
                  <c15:sqref>'2026.08'!$B$26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5"/>
                    <c:layout>
                      <c:manualLayout>
                        <c:x val="-2.8910309830729296E-3"/>
                        <c:y val="-2.5809233180994779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984A-4033-B60B-AE969F380236}"/>
                      </c:ext>
                    </c:extLst>
                  </c15:dLbl>
                </c15:categoryFilterException>
                <c15:categoryFilterException>
                  <c15:sqref>'2026.08'!$B$27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5-8417-49B2-9C29-812B5B4E5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전체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'2026.09'!$B$1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AC-4B90-B755-578429B1BB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AC-4B90-B755-578429B1BB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7AC-4B90-B755-578429B1BB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7AC-4B90-B755-578429B1BB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7AC-4B90-B755-578429B1BB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7AC-4B90-B755-578429B1BB89}"/>
              </c:ext>
            </c:extLst>
          </c:dPt>
          <c:dPt>
            <c:idx val="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7AC-4B90-B755-578429B1BB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7AC-4B90-B755-578429B1BB89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7AC-4B90-B755-578429B1BB89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7AC-4B90-B755-578429B1BB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7AC-4B90-B755-578429B1BB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7AC-4B90-B755-578429B1BB8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7AC-4B90-B755-578429B1BB8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7AC-4B90-B755-578429B1BB8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7AC-4B90-B755-578429B1BB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'2026.09'!$A$2:$A$28</c15:sqref>
                  </c15:fullRef>
                </c:ext>
              </c:extLst>
              <c:f>'2026.09'!$A$2:$A$16</c:f>
              <c:strCache>
                <c:ptCount val="15"/>
                <c:pt idx="0">
                  <c:v>맞히기</c:v>
                </c:pt>
                <c:pt idx="1">
                  <c:v>디펜스</c:v>
                </c:pt>
                <c:pt idx="2">
                  <c:v>대전</c:v>
                </c:pt>
                <c:pt idx="3">
                  <c:v>컴까기</c:v>
                </c:pt>
                <c:pt idx="4">
                  <c:v>RPG</c:v>
                </c:pt>
                <c:pt idx="5">
                  <c:v>서바이벌</c:v>
                </c:pt>
                <c:pt idx="6">
                  <c:v>공포</c:v>
                </c:pt>
                <c:pt idx="7">
                  <c:v>컨트롤</c:v>
                </c:pt>
                <c:pt idx="8">
                  <c:v>퍼즐</c:v>
                </c:pt>
                <c:pt idx="9">
                  <c:v>키우기</c:v>
                </c:pt>
                <c:pt idx="10">
                  <c:v>디플로메시</c:v>
                </c:pt>
                <c:pt idx="11">
                  <c:v>탈출</c:v>
                </c:pt>
                <c:pt idx="12">
                  <c:v>리듬게임</c:v>
                </c:pt>
                <c:pt idx="13">
                  <c:v>미니게임</c:v>
                </c:pt>
                <c:pt idx="14">
                  <c:v>병맛</c:v>
                </c:pt>
                <c:pt idx="15">
                  <c:v>추리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'2026.09'!$B$2:$B$27</c15:sqref>
                  </c15:fullRef>
                </c:ext>
              </c:extLst>
              <c:f>'2026.09'!$B$2:$B$16</c:f>
              <c:numCache>
                <c:formatCode>General</c:formatCode>
                <c:ptCount val="15"/>
                <c:pt idx="0">
                  <c:v>57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'2026.08'!$B$17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'2026.08'!$B$18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'2026.09'!$B$27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2-E7AC-4B90-B755-578429B1BB89}"/>
            </c:ext>
          </c:extLst>
        </c:ser>
        <c:ser>
          <c:idx val="0"/>
          <c:order val="1"/>
          <c:tx>
            <c:strRef>
              <c:f>'2026.09'!$B$1</c:f>
              <c:strCache>
                <c:ptCount val="1"/>
                <c:pt idx="0">
                  <c:v>개수</c:v>
                </c:pt>
              </c:strCache>
            </c:strRef>
          </c:tx>
          <c:spPr>
            <a:ln w="0">
              <a:solidFill>
                <a:schemeClr val="bg1"/>
              </a:solidFill>
            </a:ln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4-E7AC-4B90-B755-578429B1BB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6-E7AC-4B90-B755-578429B1BB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8-E7AC-4B90-B755-578429B1BB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A-E7AC-4B90-B755-578429B1BB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C-E7AC-4B90-B755-578429B1BB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2E-E7AC-4B90-B755-578429B1BB89}"/>
              </c:ext>
            </c:extLst>
          </c:dPt>
          <c:dPt>
            <c:idx val="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0-E7AC-4B90-B755-578429B1BB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2-E7AC-4B90-B755-578429B1BB89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4-E7AC-4B90-B755-578429B1BB89}"/>
              </c:ext>
            </c:extLst>
          </c:dPt>
          <c:dPt>
            <c:idx val="9"/>
            <c:bubble3D val="0"/>
            <c:spPr>
              <a:solidFill>
                <a:schemeClr val="accent5">
                  <a:lumMod val="8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6-E7AC-4B90-B755-578429B1BB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8-E7AC-4B90-B755-578429B1BB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A-E7AC-4B90-B755-578429B1BB8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C-E7AC-4B90-B755-578429B1BB8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3E-E7AC-4B90-B755-578429B1BB8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0">
                <a:solidFill>
                  <a:schemeClr val="bg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40-E7AC-4B90-B755-578429B1BB89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7AC-4B90-B755-578429B1BB89}"/>
                </c:ext>
              </c:extLst>
            </c:dLbl>
            <c:dLbl>
              <c:idx val="6"/>
              <c:layout>
                <c:manualLayout>
                  <c:x val="1.5093845897661583E-3"/>
                  <c:y val="-1.653907913734147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7AC-4B90-B755-578429B1BB89}"/>
                </c:ext>
              </c:extLst>
            </c:dLbl>
            <c:dLbl>
              <c:idx val="7"/>
              <c:layout>
                <c:manualLayout>
                  <c:x val="-9.1365463758117882E-2"/>
                  <c:y val="-4.919596979671701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7AC-4B90-B755-578429B1BB89}"/>
                </c:ext>
              </c:extLst>
            </c:dLbl>
            <c:dLbl>
              <c:idx val="8"/>
              <c:layout>
                <c:manualLayout>
                  <c:x val="-7.6270904203439823E-3"/>
                  <c:y val="-3.229232012044793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7AC-4B90-B755-578429B1BB89}"/>
                </c:ext>
              </c:extLst>
            </c:dLbl>
            <c:dLbl>
              <c:idx val="9"/>
              <c:layout>
                <c:manualLayout>
                  <c:x val="-8.4576213687574828E-2"/>
                  <c:y val="-7.682429975746746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7AC-4B90-B755-578429B1BB89}"/>
                </c:ext>
              </c:extLst>
            </c:dLbl>
            <c:dLbl>
              <c:idx val="10"/>
              <c:layout>
                <c:manualLayout>
                  <c:x val="-7.8567440974640079E-2"/>
                  <c:y val="-8.981261347410877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7AC-4B90-B755-578429B1BB89}"/>
                </c:ext>
              </c:extLst>
            </c:dLbl>
            <c:dLbl>
              <c:idx val="11"/>
              <c:layout>
                <c:manualLayout>
                  <c:x val="-6.6481195137616855E-2"/>
                  <c:y val="-0.1105088552182832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7AC-4B90-B755-578429B1BB89}"/>
                </c:ext>
              </c:extLst>
            </c:dLbl>
            <c:dLbl>
              <c:idx val="12"/>
              <c:layout>
                <c:manualLayout>
                  <c:x val="-3.9277184385184537E-2"/>
                  <c:y val="-0.1277692587409642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7AC-4B90-B755-578429B1BB89}"/>
                </c:ext>
              </c:extLst>
            </c:dLbl>
            <c:dLbl>
              <c:idx val="13"/>
              <c:layout>
                <c:manualLayout>
                  <c:x val="-1.6579798748721421E-2"/>
                  <c:y val="-0.1011776003608602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7AC-4B90-B755-578429B1BB89}"/>
                </c:ext>
              </c:extLst>
            </c:dLbl>
            <c:dLbl>
              <c:idx val="14"/>
              <c:layout>
                <c:manualLayout>
                  <c:x val="-4.5317220543807197E-3"/>
                  <c:y val="-6.750495656472416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7AC-4B90-B755-578429B1BB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'2026.09'!$A$2:$A$28</c15:sqref>
                  </c15:fullRef>
                </c:ext>
              </c:extLst>
              <c:f>'2026.09'!$A$2:$A$16</c:f>
              <c:strCache>
                <c:ptCount val="15"/>
                <c:pt idx="0">
                  <c:v>맞히기</c:v>
                </c:pt>
                <c:pt idx="1">
                  <c:v>디펜스</c:v>
                </c:pt>
                <c:pt idx="2">
                  <c:v>대전</c:v>
                </c:pt>
                <c:pt idx="3">
                  <c:v>컴까기</c:v>
                </c:pt>
                <c:pt idx="4">
                  <c:v>RPG</c:v>
                </c:pt>
                <c:pt idx="5">
                  <c:v>서바이벌</c:v>
                </c:pt>
                <c:pt idx="6">
                  <c:v>공포</c:v>
                </c:pt>
                <c:pt idx="7">
                  <c:v>컨트롤</c:v>
                </c:pt>
                <c:pt idx="8">
                  <c:v>퍼즐</c:v>
                </c:pt>
                <c:pt idx="9">
                  <c:v>키우기</c:v>
                </c:pt>
                <c:pt idx="10">
                  <c:v>디플로메시</c:v>
                </c:pt>
                <c:pt idx="11">
                  <c:v>탈출</c:v>
                </c:pt>
                <c:pt idx="12">
                  <c:v>리듬게임</c:v>
                </c:pt>
                <c:pt idx="13">
                  <c:v>미니게임</c:v>
                </c:pt>
                <c:pt idx="14">
                  <c:v>병맛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'2026.09'!$B$2:$B$28</c15:sqref>
                  </c15:fullRef>
                </c:ext>
              </c:extLst>
              <c:f>'2026.09'!$B$2:$B$16</c:f>
              <c:numCache>
                <c:formatCode>General</c:formatCode>
                <c:ptCount val="15"/>
                <c:pt idx="0">
                  <c:v>57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'2026.08'!$B$17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7.5528700906344415E-3"/>
                        <c:y val="-7.5446716160574037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2-E7AC-4B90-B755-578429B1BB89}"/>
                      </c:ext>
                    </c:extLst>
                  </c15:dLbl>
                </c15:categoryFilterException>
                <c15:categoryFilterException>
                  <c15:sqref>'2026.08'!$B$18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1.5105740181268882E-3"/>
                        <c:y val="-9.1330235352273845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4-E7AC-4B90-B755-578429B1BB89}"/>
                      </c:ext>
                    </c:extLst>
                  </c15:dLbl>
                </c15:categoryFilterException>
                <c15:categoryFilterException>
                  <c15:sqref>'2026.09'!$B$27</c15:sqref>
                  <c15:spPr xmlns:c15="http://schemas.microsoft.com/office/drawing/2012/chart"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-1.9763005814749348E-2"/>
                        <c:y val="-0.11991872427862055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</c:extLst>
                  </c15:dLbl>
                </c15:categoryFilterException>
                <c15:categoryFilterException>
                  <c15:sqref>'2026.08'!$B$28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0">
                      <a:solidFill>
                        <a:schemeClr val="bg1"/>
                      </a:solidFill>
                    </a:ln>
                    <a:effectLst>
                      <a:softEdge rad="0"/>
                    </a:effectLst>
                  </c15:spPr>
                  <c15:bubble3D val="0"/>
                  <c15:dLbl>
                    <c:idx val="14"/>
                    <c:layout>
                      <c:manualLayout>
                        <c:x val="9.0702947845804991E-3"/>
                        <c:y val="-7.4982950369230653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B-E7AC-4B90-B755-578429B1BB89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5-E7AC-4B90-B755-578429B1B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'2026.09'!$B$1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66-4325-A3A6-C1C23E0A13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66-4325-A3A6-C1C23E0A1311}"/>
              </c:ext>
            </c:extLst>
          </c:dPt>
          <c:dPt>
            <c:idx val="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266-4325-A3A6-C1C23E0A13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266-4325-A3A6-C1C23E0A13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266-4325-A3A6-C1C23E0A1311}"/>
              </c:ext>
            </c:extLst>
          </c:dPt>
          <c:dPt>
            <c:idx val="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266-4325-A3A6-C1C23E0A13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266-4325-A3A6-C1C23E0A1311}"/>
              </c:ext>
            </c:extLst>
          </c:dPt>
          <c:dPt>
            <c:idx val="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266-4325-A3A6-C1C23E0A1311}"/>
              </c:ext>
            </c:extLst>
          </c:dPt>
          <c:dPt>
            <c:idx val="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266-4325-A3A6-C1C23E0A1311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266-4325-A3A6-C1C23E0A1311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266-4325-A3A6-C1C23E0A1311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266-4325-A3A6-C1C23E0A1311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266-4325-A3A6-C1C23E0A1311}"/>
              </c:ext>
            </c:extLst>
          </c:dPt>
          <c:dPt>
            <c:idx val="1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266-4325-A3A6-C1C23E0A13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'2026.09'!$A$2:$A$27</c15:sqref>
                  </c15:fullRef>
                </c:ext>
              </c:extLst>
              <c:f>'2026.09'!$A$3:$A$16</c:f>
              <c:strCache>
                <c:ptCount val="14"/>
                <c:pt idx="0">
                  <c:v>디펜스</c:v>
                </c:pt>
                <c:pt idx="1">
                  <c:v>대전</c:v>
                </c:pt>
                <c:pt idx="2">
                  <c:v>컴까기</c:v>
                </c:pt>
                <c:pt idx="3">
                  <c:v>RPG</c:v>
                </c:pt>
                <c:pt idx="4">
                  <c:v>서바이벌</c:v>
                </c:pt>
                <c:pt idx="5">
                  <c:v>공포</c:v>
                </c:pt>
                <c:pt idx="6">
                  <c:v>컨트롤</c:v>
                </c:pt>
                <c:pt idx="7">
                  <c:v>퍼즐</c:v>
                </c:pt>
                <c:pt idx="8">
                  <c:v>키우기</c:v>
                </c:pt>
                <c:pt idx="9">
                  <c:v>디플로메시</c:v>
                </c:pt>
                <c:pt idx="10">
                  <c:v>탈출</c:v>
                </c:pt>
                <c:pt idx="11">
                  <c:v>리듬게임</c:v>
                </c:pt>
                <c:pt idx="12">
                  <c:v>미니게임</c:v>
                </c:pt>
                <c:pt idx="13">
                  <c:v>병맛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'2026.09'!$B$2:$B$27</c15:sqref>
                  </c15:fullRef>
                </c:ext>
              </c:extLst>
              <c:f>'2026.09'!$B$3:$B$16</c:f>
              <c:numCache>
                <c:formatCode>General</c:formatCode>
                <c:ptCount val="14"/>
                <c:pt idx="0">
                  <c:v>11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'2026.09'!$B$2</c15:sqref>
                  <c15:bubble3D val="0"/>
                </c15:categoryFilterException>
                <c15:categoryFilterException>
                  <c15:sqref>'2026.09'!$B$17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'2026.09'!$B$18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'2026.09'!$B$19</c15:sqref>
                  <c15:spPr xmlns:c15="http://schemas.microsoft.com/office/drawing/2012/chart">
                    <a:solidFill>
                      <a:schemeClr val="accent6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'2026.09'!$B$20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'2026.09'!$B$21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'2026.09'!$B$22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'2026.09'!$B$23</c15:sqref>
                  <c15:spPr xmlns:c15="http://schemas.microsoft.com/office/drawing/2012/chart"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'2026.09'!$B$24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'2026.09'!$B$25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'2026.09'!$B$26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'2026.09'!$B$27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0-B266-4325-A3A6-C1C23E0A1311}"/>
            </c:ext>
          </c:extLst>
        </c:ser>
        <c:ser>
          <c:idx val="0"/>
          <c:order val="1"/>
          <c:tx>
            <c:strRef>
              <c:f>'2026.09'!$B$1</c:f>
              <c:strCache>
                <c:ptCount val="1"/>
                <c:pt idx="0">
                  <c:v>개수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B266-4325-A3A6-C1C23E0A13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B266-4325-A3A6-C1C23E0A1311}"/>
              </c:ext>
            </c:extLst>
          </c:dPt>
          <c:dPt>
            <c:idx val="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B266-4325-A3A6-C1C23E0A13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B266-4325-A3A6-C1C23E0A13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B266-4325-A3A6-C1C23E0A1311}"/>
              </c:ext>
            </c:extLst>
          </c:dPt>
          <c:dPt>
            <c:idx val="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B266-4325-A3A6-C1C23E0A13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B266-4325-A3A6-C1C23E0A1311}"/>
              </c:ext>
            </c:extLst>
          </c:dPt>
          <c:dPt>
            <c:idx val="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B266-4325-A3A6-C1C23E0A1311}"/>
              </c:ext>
            </c:extLst>
          </c:dPt>
          <c:dPt>
            <c:idx val="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B266-4325-A3A6-C1C23E0A1311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B266-4325-A3A6-C1C23E0A1311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B266-4325-A3A6-C1C23E0A1311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B266-4325-A3A6-C1C23E0A1311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B266-4325-A3A6-C1C23E0A1311}"/>
              </c:ext>
            </c:extLst>
          </c:dPt>
          <c:dPt>
            <c:idx val="1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B266-4325-A3A6-C1C23E0A1311}"/>
              </c:ext>
            </c:extLst>
          </c:dPt>
          <c:dLbls>
            <c:dLbl>
              <c:idx val="4"/>
              <c:layout>
                <c:manualLayout>
                  <c:x val="2.797301775760591E-3"/>
                  <c:y val="-2.838038624279911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7.0147367686964515E-2"/>
                      <c:h val="2.48113541805249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A-B266-4325-A3A6-C1C23E0A1311}"/>
                </c:ext>
              </c:extLst>
            </c:dLbl>
            <c:dLbl>
              <c:idx val="6"/>
              <c:layout>
                <c:manualLayout>
                  <c:x val="-4.6409311950311675E-3"/>
                  <c:y val="-1.133988719060506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2E-B266-4325-A3A6-C1C23E0A1311}"/>
                </c:ext>
              </c:extLst>
            </c:dLbl>
            <c:dLbl>
              <c:idx val="7"/>
              <c:layout>
                <c:manualLayout>
                  <c:x val="-2.8676213442195165E-3"/>
                  <c:y val="-3.315657071671547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266-4325-A3A6-C1C23E0A1311}"/>
                </c:ext>
              </c:extLst>
            </c:dLbl>
            <c:dLbl>
              <c:idx val="8"/>
              <c:layout>
                <c:manualLayout>
                  <c:x val="-2.5673362813634203E-3"/>
                  <c:y val="-6.1864903949502317E-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266-4325-A3A6-C1C23E0A1311}"/>
                </c:ext>
              </c:extLst>
            </c:dLbl>
            <c:dLbl>
              <c:idx val="9"/>
              <c:layout>
                <c:manualLayout>
                  <c:x val="-0.12085179608313631"/>
                  <c:y val="-5.109944209981262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266-4325-A3A6-C1C23E0A1311}"/>
                </c:ext>
              </c:extLst>
            </c:dLbl>
            <c:dLbl>
              <c:idx val="10"/>
              <c:layout>
                <c:manualLayout>
                  <c:x val="1.6852917948624784E-3"/>
                  <c:y val="-1.4570095745227339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266-4325-A3A6-C1C23E0A1311}"/>
                </c:ext>
              </c:extLst>
            </c:dLbl>
            <c:dLbl>
              <c:idx val="11"/>
              <c:layout>
                <c:manualLayout>
                  <c:x val="-4.0909262004156705E-2"/>
                  <c:y val="-0.1173588544558866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266-4325-A3A6-C1C23E0A1311}"/>
                </c:ext>
              </c:extLst>
            </c:dLbl>
            <c:dLbl>
              <c:idx val="12"/>
              <c:layout>
                <c:manualLayout>
                  <c:x val="-1.5117635811852175E-3"/>
                  <c:y val="-8.840736198392598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266-4325-A3A6-C1C23E0A13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'2026.09'!$A$2:$A$27</c15:sqref>
                  </c15:fullRef>
                </c:ext>
              </c:extLst>
              <c:f>'2026.09'!$A$3:$A$16</c:f>
              <c:strCache>
                <c:ptCount val="14"/>
                <c:pt idx="0">
                  <c:v>디펜스</c:v>
                </c:pt>
                <c:pt idx="1">
                  <c:v>대전</c:v>
                </c:pt>
                <c:pt idx="2">
                  <c:v>컴까기</c:v>
                </c:pt>
                <c:pt idx="3">
                  <c:v>RPG</c:v>
                </c:pt>
                <c:pt idx="4">
                  <c:v>서바이벌</c:v>
                </c:pt>
                <c:pt idx="5">
                  <c:v>공포</c:v>
                </c:pt>
                <c:pt idx="6">
                  <c:v>컨트롤</c:v>
                </c:pt>
                <c:pt idx="7">
                  <c:v>퍼즐</c:v>
                </c:pt>
                <c:pt idx="8">
                  <c:v>키우기</c:v>
                </c:pt>
                <c:pt idx="9">
                  <c:v>디플로메시</c:v>
                </c:pt>
                <c:pt idx="10">
                  <c:v>탈출</c:v>
                </c:pt>
                <c:pt idx="11">
                  <c:v>리듬게임</c:v>
                </c:pt>
                <c:pt idx="12">
                  <c:v>미니게임</c:v>
                </c:pt>
                <c:pt idx="13">
                  <c:v>병맛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'2026.09'!$B$2:$B$27</c15:sqref>
                  </c15:fullRef>
                </c:ext>
              </c:extLst>
              <c:f>'2026.09'!$B$3:$B$16</c:f>
              <c:numCache>
                <c:formatCode>General</c:formatCode>
                <c:ptCount val="14"/>
                <c:pt idx="0">
                  <c:v>11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'2026.09'!$B$2</c15:sqref>
                  <c15:bubble3D val="0"/>
                </c15:categoryFilterException>
                <c15:categoryFilterException>
                  <c15:sqref>'2026.09'!$B$17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'2026.09'!$B$18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4.5374296953288977E-3"/>
                        <c:y val="-3.8544349994004638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0-B266-4325-A3A6-C1C23E0A1311}"/>
                      </c:ext>
                    </c:extLst>
                  </c15:dLbl>
                </c15:categoryFilterException>
                <c15:categoryFilterException>
                  <c15:sqref>'2026.09'!$B$19</c15:sqref>
                  <c15:spPr xmlns:c15="http://schemas.microsoft.com/office/drawing/2012/chart">
                    <a:solidFill>
                      <a:schemeClr val="accent6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1.5114548902138015E-3"/>
                        <c:y val="-1.3289755539986168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7-B266-4325-A3A6-C1C23E0A1311}"/>
                      </c:ext>
                    </c:extLst>
                  </c15:dLbl>
                </c15:categoryFilterException>
                <c15:categoryFilterException>
                  <c15:sqref>'2026.09'!$B$20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'2026.09'!$B$21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1.4233535745508193E-3"/>
                        <c:y val="-4.2789388931675524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B266-4325-A3A6-C1C23E0A1311}"/>
                      </c:ext>
                    </c:extLst>
                  </c15:dLbl>
                </c15:categoryFilterException>
                <c15:categoryFilterException>
                  <c15:sqref>'2026.09'!$B$22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4.9713992440231451E-3"/>
                        <c:y val="-2.9099641324388708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B266-4325-A3A6-C1C23E0A1311}"/>
                      </c:ext>
                    </c:extLst>
                  </c15:dLbl>
                </c15:categoryFilterException>
                <c15:categoryFilterException>
                  <c15:sqref>'2026.09'!$B$23</c15:sqref>
                  <c15:spPr xmlns:c15="http://schemas.microsoft.com/office/drawing/2012/chart"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7.7239925150947611E-6"/>
                        <c:y val="-2.8124891862159529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F-B266-4325-A3A6-C1C23E0A1311}"/>
                      </c:ext>
                    </c:extLst>
                  </c15:dLbl>
                </c15:categoryFilterException>
                <c15:categoryFilterException>
                  <c15:sqref>'2026.09'!$B$24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'2026.09'!$B$25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3.3237171607031303E-2"/>
                        <c:y val="-6.5586153367020034E-2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B266-4325-A3A6-C1C23E0A1311}"/>
                      </c:ext>
                    </c:extLst>
                  </c15:dLbl>
                </c15:categoryFilterException>
                <c15:categoryFilterException>
                  <c15:sqref>'2026.09'!$B$26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'2026.09'!$B$27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solidFill>
                        <a:schemeClr val="bg1"/>
                      </a:solidFill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13"/>
                    <c:layout>
                      <c:manualLayout>
                        <c:x val="-2.8910309830729296E-3"/>
                        <c:y val="-2.5809233180994779E-3"/>
                      </c:manualLayout>
                    </c:layout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7-B266-4325-A3A6-C1C23E0A131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1-B266-4325-A3A6-C1C23E0A1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전체 기간 장르 분포 </a:t>
            </a:r>
            <a:r>
              <a:rPr lang="en-US" altLang="ko-KR"/>
              <a:t>(</a:t>
            </a:r>
            <a:r>
              <a:rPr lang="ko-KR" altLang="en-US"/>
              <a:t>맞히기 제외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TOTAL!$B$1</c:f>
              <c:strCache>
                <c:ptCount val="1"/>
                <c:pt idx="0">
                  <c:v>전체 총합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3B-4C3E-81EF-56348E15EC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3B-4C3E-81EF-56348E15EC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3B-4C3E-81EF-56348E15EC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03B-4C3E-81EF-56348E15EC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03B-4C3E-81EF-56348E15EC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03B-4C3E-81EF-56348E15EC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03B-4C3E-81EF-56348E15EC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03B-4C3E-81EF-56348E15EC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03B-4C3E-81EF-56348E15EC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03B-4C3E-81EF-56348E15EC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03B-4C3E-81EF-56348E15EC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03B-4C3E-81EF-56348E15ECD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03B-4C3E-81EF-56348E15ECD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03B-4C3E-81EF-56348E15ECD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03B-4C3E-81EF-56348E15ECD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03B-4C3E-81EF-56348E15ECD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903B-4C3E-81EF-56348E15ECD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903B-4C3E-81EF-56348E15ECD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903B-4C3E-81EF-56348E15ECD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903B-4C3E-81EF-56348E15ECD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903B-4C3E-81EF-56348E15ECD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903B-4C3E-81EF-56348E15ECD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5289-47FB-9AE8-8EF9157C35AC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5DE9-4262-A744-6943F7A42DC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6E5A-4662-A62F-E073DB1B661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6E5A-4662-A62F-E073DB1B66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TOTAL!$A$2:$A$28</c15:sqref>
                  </c15:fullRef>
                </c:ext>
              </c:extLst>
              <c:f>TOTAL!$A$3:$A$28</c:f>
              <c:strCache>
                <c:ptCount val="26"/>
                <c:pt idx="0">
                  <c:v>디펜스</c:v>
                </c:pt>
                <c:pt idx="1">
                  <c:v>컴까기</c:v>
                </c:pt>
                <c:pt idx="2">
                  <c:v>대전</c:v>
                </c:pt>
                <c:pt idx="3">
                  <c:v>캠페인</c:v>
                </c:pt>
                <c:pt idx="4">
                  <c:v>컨트롤</c:v>
                </c:pt>
                <c:pt idx="5">
                  <c:v>RPG</c:v>
                </c:pt>
                <c:pt idx="6">
                  <c:v>미니게임</c:v>
                </c:pt>
                <c:pt idx="7">
                  <c:v>기타</c:v>
                </c:pt>
                <c:pt idx="8">
                  <c:v>디플로메시</c:v>
                </c:pt>
                <c:pt idx="9">
                  <c:v>서바이벌</c:v>
                </c:pt>
                <c:pt idx="10">
                  <c:v>키우기</c:v>
                </c:pt>
                <c:pt idx="11">
                  <c:v>블러드</c:v>
                </c:pt>
                <c:pt idx="12">
                  <c:v>어드벤처</c:v>
                </c:pt>
                <c:pt idx="13">
                  <c:v>밀리기반</c:v>
                </c:pt>
                <c:pt idx="14">
                  <c:v>호환요청</c:v>
                </c:pt>
                <c:pt idx="15">
                  <c:v>공포</c:v>
                </c:pt>
                <c:pt idx="16">
                  <c:v>퍼즐</c:v>
                </c:pt>
                <c:pt idx="17">
                  <c:v>오펜스</c:v>
                </c:pt>
                <c:pt idx="18">
                  <c:v>리듬게임</c:v>
                </c:pt>
                <c:pt idx="19">
                  <c:v>탈출</c:v>
                </c:pt>
                <c:pt idx="20">
                  <c:v>AOS</c:v>
                </c:pt>
                <c:pt idx="21">
                  <c:v>슈팅</c:v>
                </c:pt>
                <c:pt idx="22">
                  <c:v>추리</c:v>
                </c:pt>
                <c:pt idx="23">
                  <c:v>병맛</c:v>
                </c:pt>
                <c:pt idx="24">
                  <c:v>영상</c:v>
                </c:pt>
                <c:pt idx="25">
                  <c:v>레이싱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TOTAL!$B$2:$B$28</c15:sqref>
                  </c15:fullRef>
                </c:ext>
              </c:extLst>
              <c:f>TOTAL!$B$3:$B$28</c:f>
              <c:numCache>
                <c:formatCode>General</c:formatCode>
                <c:ptCount val="26"/>
                <c:pt idx="0">
                  <c:v>402</c:v>
                </c:pt>
                <c:pt idx="1">
                  <c:v>343</c:v>
                </c:pt>
                <c:pt idx="2">
                  <c:v>343</c:v>
                </c:pt>
                <c:pt idx="3">
                  <c:v>192</c:v>
                </c:pt>
                <c:pt idx="4">
                  <c:v>178</c:v>
                </c:pt>
                <c:pt idx="5">
                  <c:v>192</c:v>
                </c:pt>
                <c:pt idx="6">
                  <c:v>86</c:v>
                </c:pt>
                <c:pt idx="7">
                  <c:v>95</c:v>
                </c:pt>
                <c:pt idx="8">
                  <c:v>70</c:v>
                </c:pt>
                <c:pt idx="9">
                  <c:v>159</c:v>
                </c:pt>
                <c:pt idx="10">
                  <c:v>101</c:v>
                </c:pt>
                <c:pt idx="11">
                  <c:v>47</c:v>
                </c:pt>
                <c:pt idx="12">
                  <c:v>49</c:v>
                </c:pt>
                <c:pt idx="13">
                  <c:v>53</c:v>
                </c:pt>
                <c:pt idx="14">
                  <c:v>75</c:v>
                </c:pt>
                <c:pt idx="15">
                  <c:v>36</c:v>
                </c:pt>
                <c:pt idx="16">
                  <c:v>45</c:v>
                </c:pt>
                <c:pt idx="17">
                  <c:v>34</c:v>
                </c:pt>
                <c:pt idx="18">
                  <c:v>13</c:v>
                </c:pt>
                <c:pt idx="19">
                  <c:v>17</c:v>
                </c:pt>
                <c:pt idx="20">
                  <c:v>13</c:v>
                </c:pt>
                <c:pt idx="21">
                  <c:v>8</c:v>
                </c:pt>
                <c:pt idx="22">
                  <c:v>6</c:v>
                </c:pt>
                <c:pt idx="23">
                  <c:v>7</c:v>
                </c:pt>
                <c:pt idx="24">
                  <c:v>5</c:v>
                </c:pt>
                <c:pt idx="25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TOTAL!$B$2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E-DE71-4476-904C-6B5D39B4A9EB}"/>
            </c:ext>
          </c:extLst>
        </c:ser>
        <c:ser>
          <c:idx val="0"/>
          <c:order val="1"/>
          <c:tx>
            <c:strRef>
              <c:f>TOTAL!$A$1</c:f>
              <c:strCache>
                <c:ptCount val="1"/>
                <c:pt idx="0">
                  <c:v>장르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903B-4C3E-81EF-56348E15EC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903B-4C3E-81EF-56348E15EC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903B-4C3E-81EF-56348E15EC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903B-4C3E-81EF-56348E15EC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903B-4C3E-81EF-56348E15EC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903B-4C3E-81EF-56348E15EC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903B-4C3E-81EF-56348E15EC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903B-4C3E-81EF-56348E15EC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903B-4C3E-81EF-56348E15EC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903B-4C3E-81EF-56348E15EC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903B-4C3E-81EF-56348E15EC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903B-4C3E-81EF-56348E15ECD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903B-4C3E-81EF-56348E15ECD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903B-4C3E-81EF-56348E15ECD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903B-4C3E-81EF-56348E15ECD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903B-4C3E-81EF-56348E15ECD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DE71-4476-904C-6B5D39B4A9E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903B-4C3E-81EF-56348E15ECD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903B-4C3E-81EF-56348E15ECD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903B-4C3E-81EF-56348E15ECD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903B-4C3E-81EF-56348E15ECD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903B-4C3E-81EF-56348E15ECD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A-4C47-4624-AF53-ACCE8C4FD53D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E-834A-4C9A-BF0E-D41E9EE2516D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2-5DE9-4262-A744-6943F7A42DC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6E5A-4662-A62F-E073DB1B6615}"/>
              </c:ext>
            </c:extLst>
          </c:dPt>
          <c:dLbls>
            <c:dLbl>
              <c:idx val="5"/>
              <c:layout>
                <c:manualLayout>
                  <c:x val="0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903B-4C3E-81EF-56348E15ECD9}"/>
                </c:ext>
              </c:extLst>
            </c:dLbl>
            <c:dLbl>
              <c:idx val="8"/>
              <c:layout>
                <c:manualLayout>
                  <c:x val="-1.5165707445621982E-3"/>
                  <c:y val="-4.026050342113916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903B-4C3E-81EF-56348E15ECD9}"/>
                </c:ext>
              </c:extLst>
            </c:dLbl>
            <c:dLbl>
              <c:idx val="10"/>
              <c:layout>
                <c:manualLayout>
                  <c:x val="-8.6089821457258683E-3"/>
                  <c:y val="6.7100839035231531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213650665213309E-2"/>
                      <c:h val="2.6153370961229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1-903B-4C3E-81EF-56348E15ECD9}"/>
                </c:ext>
              </c:extLst>
            </c:dLbl>
            <c:dLbl>
              <c:idx val="11"/>
              <c:layout>
                <c:manualLayout>
                  <c:x val="-3.0331414891243964E-3"/>
                  <c:y val="-2.68403356140928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903B-4C3E-81EF-56348E15ECD9}"/>
                </c:ext>
              </c:extLst>
            </c:dLbl>
            <c:dLbl>
              <c:idx val="12"/>
              <c:layout>
                <c:manualLayout>
                  <c:x val="0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903B-4C3E-81EF-56348E15ECD9}"/>
                </c:ext>
              </c:extLst>
            </c:dLbl>
            <c:dLbl>
              <c:idx val="13"/>
              <c:layout>
                <c:manualLayout>
                  <c:x val="-2.7803475795515347E-17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903B-4C3E-81EF-56348E15ECD9}"/>
                </c:ext>
              </c:extLst>
            </c:dLbl>
            <c:dLbl>
              <c:idx val="15"/>
              <c:layout>
                <c:manualLayout>
                  <c:x val="-5.5606951591030695E-17"/>
                  <c:y val="-2.684033561409261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903B-4C3E-81EF-56348E15ECD9}"/>
                </c:ext>
              </c:extLst>
            </c:dLbl>
            <c:dLbl>
              <c:idx val="16"/>
              <c:layout>
                <c:manualLayout>
                  <c:x val="-7.4311966483547764E-2"/>
                  <c:y val="-6.441680547382226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DE71-4476-904C-6B5D39B4A9EB}"/>
                </c:ext>
              </c:extLst>
            </c:dLbl>
            <c:dLbl>
              <c:idx val="17"/>
              <c:layout>
                <c:manualLayout>
                  <c:x val="-6.8245683505298915E-2"/>
                  <c:y val="-6.307478869311763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903B-4C3E-81EF-56348E15ECD9}"/>
                </c:ext>
              </c:extLst>
            </c:dLbl>
            <c:dLbl>
              <c:idx val="18"/>
              <c:layout>
                <c:manualLayout>
                  <c:x val="-7.5828537228109963E-2"/>
                  <c:y val="-9.52831914300287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903B-4C3E-81EF-56348E15ECD9}"/>
                </c:ext>
              </c:extLst>
            </c:dLbl>
            <c:dLbl>
              <c:idx val="19"/>
              <c:layout>
                <c:manualLayout>
                  <c:x val="-2.7298273402119568E-2"/>
                  <c:y val="-0.122123527044121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903B-4C3E-81EF-56348E15ECD9}"/>
                </c:ext>
              </c:extLst>
            </c:dLbl>
            <c:dLbl>
              <c:idx val="20"/>
              <c:layout>
                <c:manualLayout>
                  <c:x val="-5.9146259037925732E-2"/>
                  <c:y val="-0.1087033592370750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903B-4C3E-81EF-56348E15ECD9}"/>
                </c:ext>
              </c:extLst>
            </c:dLbl>
            <c:dLbl>
              <c:idx val="22"/>
              <c:layout>
                <c:manualLayout>
                  <c:x val="-3.0331414891245079E-3"/>
                  <c:y val="-0.1154134431405982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4C47-4624-AF53-ACCE8C4FD53D}"/>
                </c:ext>
              </c:extLst>
            </c:dLbl>
            <c:dLbl>
              <c:idx val="24"/>
              <c:layout>
                <c:manualLayout>
                  <c:x val="2.9406313327080127E-2"/>
                  <c:y val="-0.100651258552847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5DE9-4262-A744-6943F7A42D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TOTAL!$A$2:$A$28</c15:sqref>
                  </c15:fullRef>
                </c:ext>
              </c:extLst>
              <c:f>TOTAL!$A$3:$A$28</c:f>
              <c:strCache>
                <c:ptCount val="26"/>
                <c:pt idx="0">
                  <c:v>디펜스</c:v>
                </c:pt>
                <c:pt idx="1">
                  <c:v>컴까기</c:v>
                </c:pt>
                <c:pt idx="2">
                  <c:v>대전</c:v>
                </c:pt>
                <c:pt idx="3">
                  <c:v>캠페인</c:v>
                </c:pt>
                <c:pt idx="4">
                  <c:v>컨트롤</c:v>
                </c:pt>
                <c:pt idx="5">
                  <c:v>RPG</c:v>
                </c:pt>
                <c:pt idx="6">
                  <c:v>미니게임</c:v>
                </c:pt>
                <c:pt idx="7">
                  <c:v>기타</c:v>
                </c:pt>
                <c:pt idx="8">
                  <c:v>디플로메시</c:v>
                </c:pt>
                <c:pt idx="9">
                  <c:v>서바이벌</c:v>
                </c:pt>
                <c:pt idx="10">
                  <c:v>키우기</c:v>
                </c:pt>
                <c:pt idx="11">
                  <c:v>블러드</c:v>
                </c:pt>
                <c:pt idx="12">
                  <c:v>어드벤처</c:v>
                </c:pt>
                <c:pt idx="13">
                  <c:v>밀리기반</c:v>
                </c:pt>
                <c:pt idx="14">
                  <c:v>호환요청</c:v>
                </c:pt>
                <c:pt idx="15">
                  <c:v>공포</c:v>
                </c:pt>
                <c:pt idx="16">
                  <c:v>퍼즐</c:v>
                </c:pt>
                <c:pt idx="17">
                  <c:v>오펜스</c:v>
                </c:pt>
                <c:pt idx="18">
                  <c:v>리듬게임</c:v>
                </c:pt>
                <c:pt idx="19">
                  <c:v>탈출</c:v>
                </c:pt>
                <c:pt idx="20">
                  <c:v>AOS</c:v>
                </c:pt>
                <c:pt idx="21">
                  <c:v>슈팅</c:v>
                </c:pt>
                <c:pt idx="22">
                  <c:v>추리</c:v>
                </c:pt>
                <c:pt idx="23">
                  <c:v>병맛</c:v>
                </c:pt>
                <c:pt idx="24">
                  <c:v>영상</c:v>
                </c:pt>
                <c:pt idx="25">
                  <c:v>레이싱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TOTAL!$B$2:$B$28</c15:sqref>
                  </c15:fullRef>
                </c:ext>
              </c:extLst>
              <c:f>TOTAL!$B$3:$B$28</c:f>
              <c:numCache>
                <c:formatCode>General</c:formatCode>
                <c:ptCount val="26"/>
                <c:pt idx="0">
                  <c:v>402</c:v>
                </c:pt>
                <c:pt idx="1">
                  <c:v>343</c:v>
                </c:pt>
                <c:pt idx="2">
                  <c:v>343</c:v>
                </c:pt>
                <c:pt idx="3">
                  <c:v>192</c:v>
                </c:pt>
                <c:pt idx="4">
                  <c:v>178</c:v>
                </c:pt>
                <c:pt idx="5">
                  <c:v>192</c:v>
                </c:pt>
                <c:pt idx="6">
                  <c:v>86</c:v>
                </c:pt>
                <c:pt idx="7">
                  <c:v>95</c:v>
                </c:pt>
                <c:pt idx="8">
                  <c:v>70</c:v>
                </c:pt>
                <c:pt idx="9">
                  <c:v>159</c:v>
                </c:pt>
                <c:pt idx="10">
                  <c:v>101</c:v>
                </c:pt>
                <c:pt idx="11">
                  <c:v>47</c:v>
                </c:pt>
                <c:pt idx="12">
                  <c:v>49</c:v>
                </c:pt>
                <c:pt idx="13">
                  <c:v>53</c:v>
                </c:pt>
                <c:pt idx="14">
                  <c:v>75</c:v>
                </c:pt>
                <c:pt idx="15">
                  <c:v>36</c:v>
                </c:pt>
                <c:pt idx="16">
                  <c:v>45</c:v>
                </c:pt>
                <c:pt idx="17">
                  <c:v>34</c:v>
                </c:pt>
                <c:pt idx="18">
                  <c:v>13</c:v>
                </c:pt>
                <c:pt idx="19">
                  <c:v>17</c:v>
                </c:pt>
                <c:pt idx="20">
                  <c:v>13</c:v>
                </c:pt>
                <c:pt idx="21">
                  <c:v>8</c:v>
                </c:pt>
                <c:pt idx="22">
                  <c:v>6</c:v>
                </c:pt>
                <c:pt idx="23">
                  <c:v>7</c:v>
                </c:pt>
                <c:pt idx="24">
                  <c:v>5</c:v>
                </c:pt>
                <c:pt idx="25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TOTAL!$B$2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D-DE71-4476-904C-6B5D39B4A9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ysClr val="windowText" lastClr="000000"/>
                </a:solidFill>
              </a:rPr>
              <a:t>2024</a:t>
            </a:r>
            <a:r>
              <a:rPr lang="ko-KR" altLang="en-US" b="1">
                <a:solidFill>
                  <a:sysClr val="windowText" lastClr="000000"/>
                </a:solidFill>
              </a:rPr>
              <a:t>년 월별 장르 분포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TOTAL!$A$2</c:f>
              <c:strCache>
                <c:ptCount val="1"/>
                <c:pt idx="0">
                  <c:v>맞히기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TOTAL!$B$2:$T$2</c15:sqref>
                  </c15:fullRef>
                </c:ext>
              </c:extLst>
              <c:f>TOTAL!$I$2:$T$2</c:f>
              <c:numCache>
                <c:formatCode>0.00%</c:formatCode>
                <c:ptCount val="12"/>
                <c:pt idx="0" formatCode="General">
                  <c:v>47</c:v>
                </c:pt>
                <c:pt idx="1" formatCode="General">
                  <c:v>29</c:v>
                </c:pt>
                <c:pt idx="2" formatCode="General">
                  <c:v>57</c:v>
                </c:pt>
                <c:pt idx="3" formatCode="General">
                  <c:v>41</c:v>
                </c:pt>
                <c:pt idx="4" formatCode="General">
                  <c:v>49</c:v>
                </c:pt>
                <c:pt idx="5" formatCode="General">
                  <c:v>41</c:v>
                </c:pt>
                <c:pt idx="6" formatCode="General">
                  <c:v>48</c:v>
                </c:pt>
                <c:pt idx="7" formatCode="General">
                  <c:v>61</c:v>
                </c:pt>
                <c:pt idx="8" formatCode="General">
                  <c:v>58</c:v>
                </c:pt>
                <c:pt idx="9" formatCode="General">
                  <c:v>60</c:v>
                </c:pt>
                <c:pt idx="10" formatCode="General">
                  <c:v>52</c:v>
                </c:pt>
                <c:pt idx="11" formatCode="General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B-49F1-97CF-44E4244427C6}"/>
            </c:ext>
          </c:extLst>
        </c:ser>
        <c:ser>
          <c:idx val="1"/>
          <c:order val="1"/>
          <c:tx>
            <c:strRef>
              <c:f>TOTAL!$A$3</c:f>
              <c:strCache>
                <c:ptCount val="1"/>
                <c:pt idx="0">
                  <c:v>디펜스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TOTAL!$B$3:$T$3</c15:sqref>
                  </c15:fullRef>
                </c:ext>
              </c:extLst>
              <c:f>TOTAL!$I$3:$T$3</c:f>
              <c:numCache>
                <c:formatCode>0.00%</c:formatCode>
                <c:ptCount val="12"/>
                <c:pt idx="0" formatCode="General">
                  <c:v>11</c:v>
                </c:pt>
                <c:pt idx="1" formatCode="General">
                  <c:v>13</c:v>
                </c:pt>
                <c:pt idx="2" formatCode="General">
                  <c:v>15</c:v>
                </c:pt>
                <c:pt idx="3" formatCode="General">
                  <c:v>20</c:v>
                </c:pt>
                <c:pt idx="4" formatCode="General">
                  <c:v>21</c:v>
                </c:pt>
                <c:pt idx="5" formatCode="General">
                  <c:v>8</c:v>
                </c:pt>
                <c:pt idx="6" formatCode="General">
                  <c:v>6</c:v>
                </c:pt>
                <c:pt idx="7" formatCode="General">
                  <c:v>10</c:v>
                </c:pt>
                <c:pt idx="8" formatCode="General">
                  <c:v>20</c:v>
                </c:pt>
                <c:pt idx="9" formatCode="General">
                  <c:v>11</c:v>
                </c:pt>
                <c:pt idx="10" formatCode="General">
                  <c:v>15</c:v>
                </c:pt>
                <c:pt idx="11" formatCode="General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2B-49F1-97CF-44E4244427C6}"/>
            </c:ext>
          </c:extLst>
        </c:ser>
        <c:ser>
          <c:idx val="2"/>
          <c:order val="2"/>
          <c:tx>
            <c:strRef>
              <c:f>TOTAL!$A$4</c:f>
              <c:strCache>
                <c:ptCount val="1"/>
                <c:pt idx="0">
                  <c:v>컴까기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TOTAL!$B$4:$T$4</c15:sqref>
                  </c15:fullRef>
                </c:ext>
              </c:extLst>
              <c:f>TOTAL!$I$4:$T$4</c:f>
              <c:numCache>
                <c:formatCode>0.00%</c:formatCode>
                <c:ptCount val="12"/>
                <c:pt idx="0" formatCode="General">
                  <c:v>8</c:v>
                </c:pt>
                <c:pt idx="1" formatCode="General">
                  <c:v>5</c:v>
                </c:pt>
                <c:pt idx="2" formatCode="General">
                  <c:v>13</c:v>
                </c:pt>
                <c:pt idx="3" formatCode="General">
                  <c:v>11</c:v>
                </c:pt>
                <c:pt idx="4" formatCode="General">
                  <c:v>14</c:v>
                </c:pt>
                <c:pt idx="5" formatCode="General">
                  <c:v>25</c:v>
                </c:pt>
                <c:pt idx="6" formatCode="General">
                  <c:v>20</c:v>
                </c:pt>
                <c:pt idx="7" formatCode="General">
                  <c:v>13</c:v>
                </c:pt>
                <c:pt idx="8" formatCode="General">
                  <c:v>13</c:v>
                </c:pt>
                <c:pt idx="9" formatCode="General">
                  <c:v>15</c:v>
                </c:pt>
                <c:pt idx="10" formatCode="General">
                  <c:v>9</c:v>
                </c:pt>
                <c:pt idx="11" formatCode="General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2B-49F1-97CF-44E4244427C6}"/>
            </c:ext>
          </c:extLst>
        </c:ser>
        <c:ser>
          <c:idx val="3"/>
          <c:order val="3"/>
          <c:tx>
            <c:strRef>
              <c:f>TOTAL!$A$5</c:f>
              <c:strCache>
                <c:ptCount val="1"/>
                <c:pt idx="0">
                  <c:v>대전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TOTAL!$B$5:$T$5</c15:sqref>
                  </c15:fullRef>
                </c:ext>
              </c:extLst>
              <c:f>TOTAL!$I$5:$T$5</c:f>
              <c:numCache>
                <c:formatCode>0.00%</c:formatCode>
                <c:ptCount val="12"/>
                <c:pt idx="0" formatCode="General">
                  <c:v>7</c:v>
                </c:pt>
                <c:pt idx="1" formatCode="General">
                  <c:v>10</c:v>
                </c:pt>
                <c:pt idx="2" formatCode="General">
                  <c:v>21</c:v>
                </c:pt>
                <c:pt idx="3" formatCode="General">
                  <c:v>8</c:v>
                </c:pt>
                <c:pt idx="4" formatCode="General">
                  <c:v>13</c:v>
                </c:pt>
                <c:pt idx="5" formatCode="General">
                  <c:v>13</c:v>
                </c:pt>
                <c:pt idx="6" formatCode="General">
                  <c:v>14</c:v>
                </c:pt>
                <c:pt idx="7" formatCode="General">
                  <c:v>15</c:v>
                </c:pt>
                <c:pt idx="8" formatCode="General">
                  <c:v>12</c:v>
                </c:pt>
                <c:pt idx="9" formatCode="General">
                  <c:v>14</c:v>
                </c:pt>
                <c:pt idx="10" formatCode="General">
                  <c:v>16</c:v>
                </c:pt>
                <c:pt idx="11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2B-49F1-97CF-44E4244427C6}"/>
            </c:ext>
          </c:extLst>
        </c:ser>
        <c:ser>
          <c:idx val="4"/>
          <c:order val="4"/>
          <c:tx>
            <c:strRef>
              <c:f>TOTAL!$A$6</c:f>
              <c:strCache>
                <c:ptCount val="1"/>
                <c:pt idx="0">
                  <c:v>캠페인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TOTAL!$B$6:$T$6</c15:sqref>
                  </c15:fullRef>
                </c:ext>
              </c:extLst>
              <c:f>TOTAL!$I$6:$T$6</c:f>
              <c:numCache>
                <c:formatCode>0.00%</c:formatCode>
                <c:ptCount val="12"/>
                <c:pt idx="0" formatCode="General">
                  <c:v>7</c:v>
                </c:pt>
                <c:pt idx="1" formatCode="General">
                  <c:v>5</c:v>
                </c:pt>
                <c:pt idx="2" formatCode="General">
                  <c:v>14</c:v>
                </c:pt>
                <c:pt idx="3" formatCode="General">
                  <c:v>6</c:v>
                </c:pt>
                <c:pt idx="4" formatCode="General">
                  <c:v>8</c:v>
                </c:pt>
                <c:pt idx="5" formatCode="General">
                  <c:v>4</c:v>
                </c:pt>
                <c:pt idx="6" formatCode="General">
                  <c:v>9</c:v>
                </c:pt>
                <c:pt idx="7" formatCode="General">
                  <c:v>8</c:v>
                </c:pt>
                <c:pt idx="8" formatCode="General">
                  <c:v>7</c:v>
                </c:pt>
                <c:pt idx="9" formatCode="General">
                  <c:v>7</c:v>
                </c:pt>
                <c:pt idx="10" formatCode="General">
                  <c:v>6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2B-49F1-97CF-44E4244427C6}"/>
            </c:ext>
          </c:extLst>
        </c:ser>
        <c:ser>
          <c:idx val="5"/>
          <c:order val="5"/>
          <c:tx>
            <c:strRef>
              <c:f>TOTAL!$A$7</c:f>
              <c:strCache>
                <c:ptCount val="1"/>
                <c:pt idx="0">
                  <c:v>컨트롤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TOTAL!$B$7:$T$7</c15:sqref>
                  </c15:fullRef>
                </c:ext>
              </c:extLst>
              <c:f>TOTAL!$I$7:$T$7</c:f>
              <c:numCache>
                <c:formatCode>0.00%</c:formatCode>
                <c:ptCount val="12"/>
                <c:pt idx="0" formatCode="General">
                  <c:v>12</c:v>
                </c:pt>
                <c:pt idx="1" formatCode="General">
                  <c:v>8</c:v>
                </c:pt>
                <c:pt idx="2" formatCode="General">
                  <c:v>4</c:v>
                </c:pt>
                <c:pt idx="3" formatCode="General">
                  <c:v>4</c:v>
                </c:pt>
                <c:pt idx="4" formatCode="General">
                  <c:v>7</c:v>
                </c:pt>
                <c:pt idx="5" formatCode="General">
                  <c:v>14</c:v>
                </c:pt>
                <c:pt idx="6" formatCode="General">
                  <c:v>8</c:v>
                </c:pt>
                <c:pt idx="7" formatCode="General">
                  <c:v>5</c:v>
                </c:pt>
                <c:pt idx="8" formatCode="General">
                  <c:v>7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2B-49F1-97CF-44E4244427C6}"/>
            </c:ext>
          </c:extLst>
        </c:ser>
        <c:ser>
          <c:idx val="6"/>
          <c:order val="6"/>
          <c:tx>
            <c:strRef>
              <c:f>TOTAL!$A$8</c:f>
              <c:strCache>
                <c:ptCount val="1"/>
                <c:pt idx="0">
                  <c:v>RPG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TOTAL!$B$8:$T$8</c15:sqref>
                  </c15:fullRef>
                </c:ext>
              </c:extLst>
              <c:f>TOTAL!$I$8:$T$8</c:f>
              <c:numCache>
                <c:formatCode>0.00%</c:formatCode>
                <c:ptCount val="12"/>
                <c:pt idx="0" formatCode="General">
                  <c:v>6</c:v>
                </c:pt>
                <c:pt idx="1" formatCode="General">
                  <c:v>6</c:v>
                </c:pt>
                <c:pt idx="2" formatCode="General">
                  <c:v>8</c:v>
                </c:pt>
                <c:pt idx="3" formatCode="General">
                  <c:v>12</c:v>
                </c:pt>
                <c:pt idx="4" formatCode="General">
                  <c:v>10</c:v>
                </c:pt>
                <c:pt idx="5" formatCode="General">
                  <c:v>13</c:v>
                </c:pt>
                <c:pt idx="6" formatCode="General">
                  <c:v>6</c:v>
                </c:pt>
                <c:pt idx="7" formatCode="General">
                  <c:v>9</c:v>
                </c:pt>
                <c:pt idx="8" formatCode="General">
                  <c:v>3</c:v>
                </c:pt>
                <c:pt idx="9" formatCode="General">
                  <c:v>2</c:v>
                </c:pt>
                <c:pt idx="10" formatCode="General">
                  <c:v>3</c:v>
                </c:pt>
                <c:pt idx="11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2B-49F1-97CF-44E4244427C6}"/>
            </c:ext>
          </c:extLst>
        </c:ser>
        <c:ser>
          <c:idx val="7"/>
          <c:order val="7"/>
          <c:tx>
            <c:strRef>
              <c:f>TOTAL!$A$9</c:f>
              <c:strCache>
                <c:ptCount val="1"/>
                <c:pt idx="0">
                  <c:v>미니게임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TOTAL!$B$9:$T$9</c15:sqref>
                  </c15:fullRef>
                </c:ext>
              </c:extLst>
              <c:f>TOTAL!$I$9:$T$9</c:f>
              <c:numCache>
                <c:formatCode>0.00%</c:formatCode>
                <c:ptCount val="12"/>
                <c:pt idx="0" formatCode="General">
                  <c:v>6</c:v>
                </c:pt>
                <c:pt idx="1" formatCode="General">
                  <c:v>4</c:v>
                </c:pt>
                <c:pt idx="2" formatCode="General">
                  <c:v>4</c:v>
                </c:pt>
                <c:pt idx="3" formatCode="General">
                  <c:v>7</c:v>
                </c:pt>
                <c:pt idx="4" formatCode="General">
                  <c:v>9</c:v>
                </c:pt>
                <c:pt idx="5" formatCode="General">
                  <c:v>6</c:v>
                </c:pt>
                <c:pt idx="6" formatCode="General">
                  <c:v>6</c:v>
                </c:pt>
                <c:pt idx="7" formatCode="General">
                  <c:v>6</c:v>
                </c:pt>
                <c:pt idx="8" formatCode="General">
                  <c:v>4</c:v>
                </c:pt>
                <c:pt idx="9" formatCode="General">
                  <c:v>1</c:v>
                </c:pt>
                <c:pt idx="10" formatCode="General">
                  <c:v>1</c:v>
                </c:pt>
                <c:pt idx="11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62B-49F1-97CF-44E4244427C6}"/>
            </c:ext>
          </c:extLst>
        </c:ser>
        <c:ser>
          <c:idx val="8"/>
          <c:order val="8"/>
          <c:tx>
            <c:strRef>
              <c:f>TOTAL!$A$10</c:f>
              <c:strCache>
                <c:ptCount val="1"/>
                <c:pt idx="0">
                  <c:v>기타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TOTAL!$B$10:$T$10</c15:sqref>
                  </c15:fullRef>
                </c:ext>
              </c:extLst>
              <c:f>TOTAL!$I$10:$T$10</c:f>
              <c:numCache>
                <c:formatCode>0.00%</c:formatCode>
                <c:ptCount val="12"/>
                <c:pt idx="0" formatCode="General">
                  <c:v>10</c:v>
                </c:pt>
                <c:pt idx="1" formatCode="General">
                  <c:v>7</c:v>
                </c:pt>
                <c:pt idx="2" formatCode="General">
                  <c:v>6</c:v>
                </c:pt>
                <c:pt idx="3" formatCode="General">
                  <c:v>7</c:v>
                </c:pt>
                <c:pt idx="4" formatCode="General">
                  <c:v>2</c:v>
                </c:pt>
                <c:pt idx="5" formatCode="General">
                  <c:v>5</c:v>
                </c:pt>
                <c:pt idx="6" formatCode="General">
                  <c:v>1</c:v>
                </c:pt>
                <c:pt idx="7" formatCode="General">
                  <c:v>1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1</c:v>
                </c:pt>
                <c:pt idx="11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2B-49F1-97CF-44E4244427C6}"/>
            </c:ext>
          </c:extLst>
        </c:ser>
        <c:ser>
          <c:idx val="9"/>
          <c:order val="9"/>
          <c:tx>
            <c:strRef>
              <c:f>TOTAL!$A$11</c:f>
              <c:strCache>
                <c:ptCount val="1"/>
                <c:pt idx="0">
                  <c:v>디플로메시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TOTAL!$B$11:$T$11</c15:sqref>
                  </c15:fullRef>
                </c:ext>
              </c:extLst>
              <c:f>TOTAL!$I$11:$T$11</c:f>
              <c:numCache>
                <c:formatCode>0.00%</c:formatCode>
                <c:ptCount val="12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9</c:v>
                </c:pt>
                <c:pt idx="3" formatCode="General">
                  <c:v>3</c:v>
                </c:pt>
                <c:pt idx="4" formatCode="General">
                  <c:v>4</c:v>
                </c:pt>
                <c:pt idx="5" formatCode="General">
                  <c:v>5</c:v>
                </c:pt>
                <c:pt idx="6" formatCode="General">
                  <c:v>6</c:v>
                </c:pt>
                <c:pt idx="7" formatCode="General">
                  <c:v>6</c:v>
                </c:pt>
                <c:pt idx="8" formatCode="General">
                  <c:v>5</c:v>
                </c:pt>
                <c:pt idx="9" formatCode="General">
                  <c:v>5</c:v>
                </c:pt>
                <c:pt idx="10" formatCode="General">
                  <c:v>2</c:v>
                </c:pt>
                <c:pt idx="11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62B-49F1-97CF-44E4244427C6}"/>
            </c:ext>
          </c:extLst>
        </c:ser>
        <c:ser>
          <c:idx val="10"/>
          <c:order val="10"/>
          <c:tx>
            <c:strRef>
              <c:f>TOTAL!$A$12</c:f>
              <c:strCache>
                <c:ptCount val="1"/>
                <c:pt idx="0">
                  <c:v>서바이벌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TOTAL!$B$12:$T$12</c15:sqref>
                  </c15:fullRef>
                </c:ext>
              </c:extLst>
              <c:f>TOTAL!$I$12:$T$12</c:f>
              <c:numCache>
                <c:formatCode>0.00%</c:formatCode>
                <c:ptCount val="12"/>
                <c:pt idx="0" formatCode="General">
                  <c:v>5</c:v>
                </c:pt>
                <c:pt idx="1" formatCode="General">
                  <c:v>8</c:v>
                </c:pt>
                <c:pt idx="2" formatCode="General">
                  <c:v>3</c:v>
                </c:pt>
                <c:pt idx="3" formatCode="General">
                  <c:v>2</c:v>
                </c:pt>
                <c:pt idx="4" formatCode="General">
                  <c:v>2</c:v>
                </c:pt>
                <c:pt idx="5" formatCode="General">
                  <c:v>1</c:v>
                </c:pt>
                <c:pt idx="6" formatCode="General">
                  <c:v>2</c:v>
                </c:pt>
                <c:pt idx="7" formatCode="General">
                  <c:v>6</c:v>
                </c:pt>
                <c:pt idx="8" formatCode="General">
                  <c:v>4</c:v>
                </c:pt>
                <c:pt idx="9" formatCode="General">
                  <c:v>2</c:v>
                </c:pt>
                <c:pt idx="10" formatCode="General">
                  <c:v>6</c:v>
                </c:pt>
                <c:pt idx="11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2B-49F1-97CF-44E4244427C6}"/>
            </c:ext>
          </c:extLst>
        </c:ser>
        <c:ser>
          <c:idx val="11"/>
          <c:order val="11"/>
          <c:tx>
            <c:strRef>
              <c:f>TOTAL!$A$13</c:f>
              <c:strCache>
                <c:ptCount val="1"/>
                <c:pt idx="0">
                  <c:v>키우기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TOTAL!$B$13:$T$13</c15:sqref>
                  </c15:fullRef>
                </c:ext>
              </c:extLst>
              <c:f>TOTAL!$I$13:$T$13</c:f>
              <c:numCache>
                <c:formatCode>0.00%</c:formatCode>
                <c:ptCount val="12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2</c:v>
                </c:pt>
                <c:pt idx="3" formatCode="General">
                  <c:v>3</c:v>
                </c:pt>
                <c:pt idx="4" formatCode="General">
                  <c:v>2</c:v>
                </c:pt>
                <c:pt idx="5" formatCode="General">
                  <c:v>3</c:v>
                </c:pt>
                <c:pt idx="6" formatCode="General">
                  <c:v>10</c:v>
                </c:pt>
                <c:pt idx="7" formatCode="General">
                  <c:v>10</c:v>
                </c:pt>
                <c:pt idx="8" formatCode="General">
                  <c:v>6</c:v>
                </c:pt>
                <c:pt idx="9" formatCode="General">
                  <c:v>3</c:v>
                </c:pt>
                <c:pt idx="10" formatCode="General">
                  <c:v>6</c:v>
                </c:pt>
                <c:pt idx="11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62B-49F1-97CF-44E4244427C6}"/>
            </c:ext>
          </c:extLst>
        </c:ser>
        <c:ser>
          <c:idx val="12"/>
          <c:order val="12"/>
          <c:tx>
            <c:strRef>
              <c:f>TOTAL!$A$14</c:f>
              <c:strCache>
                <c:ptCount val="1"/>
                <c:pt idx="0">
                  <c:v>블러드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TOTAL!$B$14:$T$14</c15:sqref>
                  </c15:fullRef>
                </c:ext>
              </c:extLst>
              <c:f>TOTAL!$I$14:$T$14</c:f>
              <c:numCache>
                <c:formatCode>0.00%</c:formatCode>
                <c:ptCount val="12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3</c:v>
                </c:pt>
                <c:pt idx="3" formatCode="General">
                  <c:v>6</c:v>
                </c:pt>
                <c:pt idx="4" formatCode="General">
                  <c:v>4</c:v>
                </c:pt>
                <c:pt idx="5" formatCode="General">
                  <c:v>6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2</c:v>
                </c:pt>
                <c:pt idx="9" formatCode="General">
                  <c:v>1</c:v>
                </c:pt>
                <c:pt idx="10" formatCode="General">
                  <c:v>3</c:v>
                </c:pt>
                <c:pt idx="11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62B-49F1-97CF-44E4244427C6}"/>
            </c:ext>
          </c:extLst>
        </c:ser>
        <c:ser>
          <c:idx val="13"/>
          <c:order val="13"/>
          <c:tx>
            <c:strRef>
              <c:f>TOTAL!$A$15</c:f>
              <c:strCache>
                <c:ptCount val="1"/>
                <c:pt idx="0">
                  <c:v>어드벤처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TOTAL!$B$15:$T$15</c15:sqref>
                  </c15:fullRef>
                </c:ext>
              </c:extLst>
              <c:f>TOTAL!$I$15:$T$15</c:f>
              <c:numCache>
                <c:formatCode>0.00%</c:formatCode>
                <c:ptCount val="12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2</c:v>
                </c:pt>
                <c:pt idx="3" formatCode="General">
                  <c:v>0</c:v>
                </c:pt>
                <c:pt idx="4" formatCode="General">
                  <c:v>4</c:v>
                </c:pt>
                <c:pt idx="5" formatCode="General">
                  <c:v>3</c:v>
                </c:pt>
                <c:pt idx="6" formatCode="General">
                  <c:v>6</c:v>
                </c:pt>
                <c:pt idx="7" formatCode="General">
                  <c:v>4</c:v>
                </c:pt>
                <c:pt idx="8" formatCode="General">
                  <c:v>1</c:v>
                </c:pt>
                <c:pt idx="9" formatCode="General">
                  <c:v>0</c:v>
                </c:pt>
                <c:pt idx="10" formatCode="General">
                  <c:v>2</c:v>
                </c:pt>
                <c:pt idx="11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62B-49F1-97CF-44E4244427C6}"/>
            </c:ext>
          </c:extLst>
        </c:ser>
        <c:ser>
          <c:idx val="14"/>
          <c:order val="14"/>
          <c:tx>
            <c:strRef>
              <c:f>TOTAL!$A$16</c:f>
              <c:strCache>
                <c:ptCount val="1"/>
                <c:pt idx="0">
                  <c:v>밀리기반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TOTAL!$B$16:$T$16</c15:sqref>
                  </c15:fullRef>
                </c:ext>
              </c:extLst>
              <c:f>TOTAL!$I$16:$T$16</c:f>
              <c:numCache>
                <c:formatCode>0.00%</c:formatCode>
                <c:ptCount val="12"/>
                <c:pt idx="0" formatCode="General">
                  <c:v>2</c:v>
                </c:pt>
                <c:pt idx="1" formatCode="General">
                  <c:v>6</c:v>
                </c:pt>
                <c:pt idx="2" formatCode="General">
                  <c:v>2</c:v>
                </c:pt>
                <c:pt idx="3" formatCode="General">
                  <c:v>1</c:v>
                </c:pt>
                <c:pt idx="4" formatCode="General">
                  <c:v>0</c:v>
                </c:pt>
                <c:pt idx="5" formatCode="General">
                  <c:v>2</c:v>
                </c:pt>
                <c:pt idx="6" formatCode="General">
                  <c:v>0</c:v>
                </c:pt>
                <c:pt idx="7" formatCode="General">
                  <c:v>1</c:v>
                </c:pt>
                <c:pt idx="8" formatCode="General">
                  <c:v>3</c:v>
                </c:pt>
                <c:pt idx="9" formatCode="General">
                  <c:v>1</c:v>
                </c:pt>
                <c:pt idx="10" formatCode="General">
                  <c:v>0</c:v>
                </c:pt>
                <c:pt idx="11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62B-49F1-97CF-44E4244427C6}"/>
            </c:ext>
          </c:extLst>
        </c:ser>
        <c:ser>
          <c:idx val="15"/>
          <c:order val="15"/>
          <c:tx>
            <c:strRef>
              <c:f>TOTAL!$A$17</c:f>
              <c:strCache>
                <c:ptCount val="1"/>
                <c:pt idx="0">
                  <c:v>호환요청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TOTAL!$B$17:$T$17</c15:sqref>
                  </c15:fullRef>
                </c:ext>
              </c:extLst>
              <c:f>TOTAL!$I$17:$T$17</c:f>
              <c:numCache>
                <c:formatCode>0.00%</c:formatCode>
                <c:ptCount val="12"/>
                <c:pt idx="4" formatCode="General">
                  <c:v>2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9</c:v>
                </c:pt>
                <c:pt idx="8" formatCode="General">
                  <c:v>4</c:v>
                </c:pt>
                <c:pt idx="9" formatCode="General">
                  <c:v>4</c:v>
                </c:pt>
                <c:pt idx="10" formatCode="General">
                  <c:v>8</c:v>
                </c:pt>
                <c:pt idx="11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62B-49F1-97CF-44E4244427C6}"/>
            </c:ext>
          </c:extLst>
        </c:ser>
        <c:ser>
          <c:idx val="16"/>
          <c:order val="16"/>
          <c:tx>
            <c:strRef>
              <c:f>TOTAL!$A$18</c:f>
              <c:strCache>
                <c:ptCount val="1"/>
                <c:pt idx="0">
                  <c:v>공포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TOTAL!$B$18:$T$18</c15:sqref>
                  </c15:fullRef>
                </c:ext>
              </c:extLst>
              <c:f>TOTAL!$I$18:$T$18</c:f>
              <c:numCache>
                <c:formatCode>0.00%</c:formatCode>
                <c:ptCount val="12"/>
                <c:pt idx="0" formatCode="General">
                  <c:v>2</c:v>
                </c:pt>
                <c:pt idx="1" formatCode="General">
                  <c:v>1</c:v>
                </c:pt>
                <c:pt idx="2" formatCode="General">
                  <c:v>1</c:v>
                </c:pt>
                <c:pt idx="3" formatCode="General">
                  <c:v>3</c:v>
                </c:pt>
                <c:pt idx="4" formatCode="General">
                  <c:v>5</c:v>
                </c:pt>
                <c:pt idx="5" formatCode="General">
                  <c:v>1</c:v>
                </c:pt>
                <c:pt idx="6" formatCode="General">
                  <c:v>1</c:v>
                </c:pt>
                <c:pt idx="7" formatCode="General">
                  <c:v>1</c:v>
                </c:pt>
                <c:pt idx="8" formatCode="General">
                  <c:v>2</c:v>
                </c:pt>
                <c:pt idx="9" formatCode="General">
                  <c:v>0</c:v>
                </c:pt>
                <c:pt idx="10" formatCode="General">
                  <c:v>2</c:v>
                </c:pt>
                <c:pt idx="11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62B-49F1-97CF-44E4244427C6}"/>
            </c:ext>
          </c:extLst>
        </c:ser>
        <c:ser>
          <c:idx val="17"/>
          <c:order val="17"/>
          <c:tx>
            <c:strRef>
              <c:f>TOTAL!$A$19</c:f>
              <c:strCache>
                <c:ptCount val="1"/>
                <c:pt idx="0">
                  <c:v>퍼즐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TOTAL!$B$19:$T$19</c15:sqref>
                  </c15:fullRef>
                </c:ext>
              </c:extLst>
              <c:f>TOTAL!$I$19:$T$19</c:f>
              <c:numCache>
                <c:formatCode>0.00%</c:formatCode>
                <c:ptCount val="12"/>
                <c:pt idx="0" formatCode="General">
                  <c:v>1</c:v>
                </c:pt>
                <c:pt idx="1" formatCode="General">
                  <c:v>2</c:v>
                </c:pt>
                <c:pt idx="2" formatCode="General">
                  <c:v>1</c:v>
                </c:pt>
                <c:pt idx="3" formatCode="General">
                  <c:v>2</c:v>
                </c:pt>
                <c:pt idx="4" formatCode="General">
                  <c:v>2</c:v>
                </c:pt>
                <c:pt idx="5" formatCode="General">
                  <c:v>1</c:v>
                </c:pt>
                <c:pt idx="6" formatCode="General">
                  <c:v>0</c:v>
                </c:pt>
                <c:pt idx="7" formatCode="General">
                  <c:v>2</c:v>
                </c:pt>
                <c:pt idx="8" formatCode="General">
                  <c:v>1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62B-49F1-97CF-44E4244427C6}"/>
            </c:ext>
          </c:extLst>
        </c:ser>
        <c:ser>
          <c:idx val="18"/>
          <c:order val="18"/>
          <c:tx>
            <c:strRef>
              <c:f>TOTAL!$A$20</c:f>
              <c:strCache>
                <c:ptCount val="1"/>
                <c:pt idx="0">
                  <c:v>오펜스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TOTAL!$B$20:$T$20</c15:sqref>
                  </c15:fullRef>
                </c:ext>
              </c:extLst>
              <c:f>TOTAL!$I$20:$T$20</c:f>
              <c:numCache>
                <c:formatCode>0.00%</c:formatCode>
                <c:ptCount val="12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0</c:v>
                </c:pt>
                <c:pt idx="3" formatCode="General">
                  <c:v>1</c:v>
                </c:pt>
                <c:pt idx="4" formatCode="General">
                  <c:v>0</c:v>
                </c:pt>
                <c:pt idx="5" formatCode="General">
                  <c:v>3</c:v>
                </c:pt>
                <c:pt idx="6" formatCode="General">
                  <c:v>1</c:v>
                </c:pt>
                <c:pt idx="7" formatCode="General">
                  <c:v>1</c:v>
                </c:pt>
                <c:pt idx="8" formatCode="General">
                  <c:v>1</c:v>
                </c:pt>
                <c:pt idx="9" formatCode="General">
                  <c:v>2</c:v>
                </c:pt>
                <c:pt idx="10" formatCode="General">
                  <c:v>0</c:v>
                </c:pt>
                <c:pt idx="11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62B-49F1-97CF-44E4244427C6}"/>
            </c:ext>
          </c:extLst>
        </c:ser>
        <c:ser>
          <c:idx val="19"/>
          <c:order val="19"/>
          <c:tx>
            <c:strRef>
              <c:f>TOTAL!$A$21</c:f>
              <c:strCache>
                <c:ptCount val="1"/>
                <c:pt idx="0">
                  <c:v>리듬게임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TOTAL!$B$21:$T$21</c15:sqref>
                  </c15:fullRef>
                </c:ext>
              </c:extLst>
              <c:f>TOTAL!$I$21:$T$21</c:f>
              <c:numCache>
                <c:formatCode>0.00%</c:formatCode>
                <c:ptCount val="12"/>
                <c:pt idx="0" formatCode="General">
                  <c:v>2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1</c:v>
                </c:pt>
                <c:pt idx="4" formatCode="General">
                  <c:v>1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1</c:v>
                </c:pt>
                <c:pt idx="8" formatCode="General">
                  <c:v>1</c:v>
                </c:pt>
                <c:pt idx="9" formatCode="General">
                  <c:v>1</c:v>
                </c:pt>
                <c:pt idx="10" formatCode="General">
                  <c:v>1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62B-49F1-97CF-44E4244427C6}"/>
            </c:ext>
          </c:extLst>
        </c:ser>
        <c:ser>
          <c:idx val="20"/>
          <c:order val="20"/>
          <c:tx>
            <c:strRef>
              <c:f>TOTAL!$A$22</c:f>
              <c:strCache>
                <c:ptCount val="1"/>
                <c:pt idx="0">
                  <c:v>탈출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TOTAL!$B$22:$T$22</c15:sqref>
                  </c15:fullRef>
                </c:ext>
              </c:extLst>
              <c:f>TOTAL!$I$22:$T$22</c:f>
              <c:numCache>
                <c:formatCode>0.00%</c:formatCode>
                <c:ptCount val="12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</c:v>
                </c:pt>
                <c:pt idx="3" formatCode="General">
                  <c:v>0</c:v>
                </c:pt>
                <c:pt idx="4" formatCode="General">
                  <c:v>1</c:v>
                </c:pt>
                <c:pt idx="5" formatCode="General">
                  <c:v>0</c:v>
                </c:pt>
                <c:pt idx="6" formatCode="General">
                  <c:v>1</c:v>
                </c:pt>
                <c:pt idx="7" formatCode="General">
                  <c:v>1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62B-49F1-97CF-44E4244427C6}"/>
            </c:ext>
          </c:extLst>
        </c:ser>
        <c:ser>
          <c:idx val="21"/>
          <c:order val="21"/>
          <c:tx>
            <c:strRef>
              <c:f>TOTAL!$A$23</c:f>
              <c:strCache>
                <c:ptCount val="1"/>
                <c:pt idx="0">
                  <c:v>AOS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TOTAL!$B$23:$T$23</c15:sqref>
                  </c15:fullRef>
                </c:ext>
              </c:extLst>
              <c:f>TOTAL!$I$23:$T$23</c:f>
              <c:numCache>
                <c:formatCode>0.00%</c:formatCode>
                <c:ptCount val="12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3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62B-49F1-97CF-44E4244427C6}"/>
            </c:ext>
          </c:extLst>
        </c:ser>
        <c:ser>
          <c:idx val="22"/>
          <c:order val="22"/>
          <c:tx>
            <c:strRef>
              <c:f>TOTAL!$A$24</c:f>
              <c:strCache>
                <c:ptCount val="1"/>
                <c:pt idx="0">
                  <c:v>슈팅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TOTAL!$B$24:$T$24</c15:sqref>
                  </c15:fullRef>
                </c:ext>
              </c:extLst>
              <c:f>TOTAL!$I$24:$T$24</c:f>
              <c:numCache>
                <c:formatCode>0.00%</c:formatCode>
                <c:ptCount val="12"/>
                <c:pt idx="0" formatCode="General">
                  <c:v>2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1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62B-49F1-97CF-44E4244427C6}"/>
            </c:ext>
          </c:extLst>
        </c:ser>
        <c:ser>
          <c:idx val="23"/>
          <c:order val="23"/>
          <c:tx>
            <c:strRef>
              <c:f>TOTAL!$A$25</c:f>
              <c:strCache>
                <c:ptCount val="1"/>
                <c:pt idx="0">
                  <c:v>추리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TOTAL!$B$25:$T$25</c15:sqref>
                  </c15:fullRef>
                </c:ext>
              </c:extLst>
              <c:f>TOTAL!$I$25:$T$25</c:f>
              <c:numCache>
                <c:formatCode>0.00%</c:formatCode>
                <c:ptCount val="12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</c:v>
                </c:pt>
                <c:pt idx="3" formatCode="General">
                  <c:v>1</c:v>
                </c:pt>
                <c:pt idx="4" formatCode="General">
                  <c:v>1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1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62B-49F1-97CF-44E4244427C6}"/>
            </c:ext>
          </c:extLst>
        </c:ser>
        <c:ser>
          <c:idx val="24"/>
          <c:order val="24"/>
          <c:tx>
            <c:strRef>
              <c:f>TOTAL!$A$26</c:f>
              <c:strCache>
                <c:ptCount val="1"/>
                <c:pt idx="0">
                  <c:v>병맛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TOTAL!$B$26:$T$26</c15:sqref>
                  </c15:fullRef>
                </c:ext>
              </c:extLst>
              <c:f>TOTAL!$I$26:$T$26</c:f>
              <c:numCache>
                <c:formatCode>0.00%</c:formatCode>
                <c:ptCount val="12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1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2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2B-49F1-97CF-44E4244427C6}"/>
            </c:ext>
          </c:extLst>
        </c:ser>
        <c:ser>
          <c:idx val="25"/>
          <c:order val="25"/>
          <c:tx>
            <c:strRef>
              <c:f>TOTAL!$A$27</c:f>
              <c:strCache>
                <c:ptCount val="1"/>
                <c:pt idx="0">
                  <c:v>영상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TOTAL!$B$27:$T$27</c15:sqref>
                  </c15:fullRef>
                </c:ext>
              </c:extLst>
              <c:f>TOTAL!$I$27:$T$27</c:f>
              <c:numCache>
                <c:formatCode>0.00%</c:formatCode>
                <c:ptCount val="12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1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62B-49F1-97CF-44E4244427C6}"/>
            </c:ext>
          </c:extLst>
        </c:ser>
        <c:ser>
          <c:idx val="26"/>
          <c:order val="26"/>
          <c:tx>
            <c:strRef>
              <c:f>TOTAL!$A$28</c:f>
              <c:strCache>
                <c:ptCount val="1"/>
                <c:pt idx="0">
                  <c:v>레이싱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TOTAL!$B$1:$T$1</c15:sqref>
                  </c15:fullRef>
                </c:ext>
              </c:extLst>
              <c:f>TOTAL!$I$1:$T$1</c:f>
              <c:strCache>
                <c:ptCount val="12"/>
                <c:pt idx="0">
                  <c:v>24/1/1</c:v>
                </c:pt>
                <c:pt idx="1">
                  <c:v>24/2/1</c:v>
                </c:pt>
                <c:pt idx="2">
                  <c:v>24/3/1</c:v>
                </c:pt>
                <c:pt idx="3">
                  <c:v>24/4/1</c:v>
                </c:pt>
                <c:pt idx="4">
                  <c:v>24/5/1</c:v>
                </c:pt>
                <c:pt idx="5">
                  <c:v>24/6/1</c:v>
                </c:pt>
                <c:pt idx="6">
                  <c:v>24/7/1</c:v>
                </c:pt>
                <c:pt idx="7">
                  <c:v>24/8/1</c:v>
                </c:pt>
                <c:pt idx="8">
                  <c:v>24/9/1</c:v>
                </c:pt>
                <c:pt idx="9">
                  <c:v>24/10/1</c:v>
                </c:pt>
                <c:pt idx="10">
                  <c:v>24/11/1</c:v>
                </c:pt>
                <c:pt idx="11">
                  <c:v>24/12/1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TOTAL!$B$28:$T$28</c15:sqref>
                  </c15:fullRef>
                </c:ext>
              </c:extLst>
              <c:f>TOTAL!$I$28:$T$28</c:f>
              <c:numCache>
                <c:formatCode>0.00%</c:formatCode>
                <c:ptCount val="12"/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62B-49F1-97CF-44E424442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0436560"/>
        <c:axId val="620434160"/>
      </c:barChart>
      <c:dateAx>
        <c:axId val="620436560"/>
        <c:scaling>
          <c:orientation val="minMax"/>
        </c:scaling>
        <c:delete val="0"/>
        <c:axPos val="b"/>
        <c:numFmt formatCode="yy&quot;/&quot;m&quot;/&quot;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0434160"/>
        <c:crosses val="autoZero"/>
        <c:auto val="1"/>
        <c:lblOffset val="100"/>
        <c:baseTimeUnit val="months"/>
      </c:dateAx>
      <c:valAx>
        <c:axId val="62043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043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u="none" strike="noStrike" baseline="0">
                <a:solidFill>
                  <a:sysClr val="windowText" lastClr="000000"/>
                </a:solidFill>
                <a:latin typeface="Calibri" panose="020F0502020204030204"/>
                <a:ea typeface="맑은 고딕" panose="020B0503020000020004" pitchFamily="50" charset="-127"/>
              </a:rPr>
              <a:t>2024 </a:t>
            </a:r>
            <a:r>
              <a:rPr lang="ko-KR" altLang="en-US" sz="1400" b="1" i="0" u="none" strike="noStrike" baseline="0">
                <a:solidFill>
                  <a:sysClr val="windowText" lastClr="000000"/>
                </a:solidFill>
                <a:latin typeface="Calibri" panose="020F0502020204030204"/>
                <a:ea typeface="맑은 고딕" panose="020B0503020000020004" pitchFamily="50" charset="-127"/>
              </a:rPr>
              <a:t>맵 장르 분포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TOTAL!$B$84</c:f>
              <c:strCache>
                <c:ptCount val="1"/>
                <c:pt idx="0">
                  <c:v>2024 총합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TOTAL!$A$85:$A$110</c:f>
              <c:strCache>
                <c:ptCount val="26"/>
                <c:pt idx="0">
                  <c:v>맞히기</c:v>
                </c:pt>
                <c:pt idx="1">
                  <c:v>컴까기</c:v>
                </c:pt>
                <c:pt idx="2">
                  <c:v>디펜스</c:v>
                </c:pt>
                <c:pt idx="3">
                  <c:v>대전</c:v>
                </c:pt>
                <c:pt idx="4">
                  <c:v>캠페인</c:v>
                </c:pt>
                <c:pt idx="5">
                  <c:v>RPG</c:v>
                </c:pt>
                <c:pt idx="6">
                  <c:v>컨트롤</c:v>
                </c:pt>
                <c:pt idx="7">
                  <c:v>미니게임</c:v>
                </c:pt>
                <c:pt idx="8">
                  <c:v>디플로메시</c:v>
                </c:pt>
                <c:pt idx="9">
                  <c:v>키우기</c:v>
                </c:pt>
                <c:pt idx="10">
                  <c:v>서바이벌</c:v>
                </c:pt>
                <c:pt idx="11">
                  <c:v>기타</c:v>
                </c:pt>
                <c:pt idx="12">
                  <c:v>블러드</c:v>
                </c:pt>
                <c:pt idx="13">
                  <c:v>호환요청</c:v>
                </c:pt>
                <c:pt idx="14">
                  <c:v>어드벤처</c:v>
                </c:pt>
                <c:pt idx="15">
                  <c:v>공포</c:v>
                </c:pt>
                <c:pt idx="16">
                  <c:v>밀리기반</c:v>
                </c:pt>
                <c:pt idx="17">
                  <c:v>퍼즐</c:v>
                </c:pt>
                <c:pt idx="18">
                  <c:v>오펜스</c:v>
                </c:pt>
                <c:pt idx="19">
                  <c:v>리듬게임</c:v>
                </c:pt>
                <c:pt idx="20">
                  <c:v>탈출</c:v>
                </c:pt>
                <c:pt idx="21">
                  <c:v>추리</c:v>
                </c:pt>
                <c:pt idx="22">
                  <c:v>AOS</c:v>
                </c:pt>
                <c:pt idx="23">
                  <c:v>슈팅</c:v>
                </c:pt>
                <c:pt idx="24">
                  <c:v>병맛</c:v>
                </c:pt>
                <c:pt idx="25">
                  <c:v>영상</c:v>
                </c:pt>
              </c:strCache>
            </c:strRef>
          </c:cat>
          <c:val>
            <c:numRef>
              <c:f>TOTAL!$B$85:$B$110</c:f>
              <c:numCache>
                <c:formatCode>General</c:formatCode>
                <c:ptCount val="26"/>
                <c:pt idx="0">
                  <c:v>580</c:v>
                </c:pt>
                <c:pt idx="1">
                  <c:v>165</c:v>
                </c:pt>
                <c:pt idx="2">
                  <c:v>164</c:v>
                </c:pt>
                <c:pt idx="3">
                  <c:v>151</c:v>
                </c:pt>
                <c:pt idx="4">
                  <c:v>86</c:v>
                </c:pt>
                <c:pt idx="5">
                  <c:v>84</c:v>
                </c:pt>
                <c:pt idx="6">
                  <c:v>76</c:v>
                </c:pt>
                <c:pt idx="7">
                  <c:v>56</c:v>
                </c:pt>
                <c:pt idx="8">
                  <c:v>48</c:v>
                </c:pt>
                <c:pt idx="9">
                  <c:v>48</c:v>
                </c:pt>
                <c:pt idx="10">
                  <c:v>45</c:v>
                </c:pt>
                <c:pt idx="11">
                  <c:v>41</c:v>
                </c:pt>
                <c:pt idx="12">
                  <c:v>36</c:v>
                </c:pt>
                <c:pt idx="13">
                  <c:v>35</c:v>
                </c:pt>
                <c:pt idx="14">
                  <c:v>27</c:v>
                </c:pt>
                <c:pt idx="15">
                  <c:v>21</c:v>
                </c:pt>
                <c:pt idx="16">
                  <c:v>19</c:v>
                </c:pt>
                <c:pt idx="17">
                  <c:v>13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C-4603-A91B-C436D8A5318D}"/>
            </c:ext>
          </c:extLst>
        </c:ser>
        <c:ser>
          <c:idx val="1"/>
          <c:order val="1"/>
          <c:tx>
            <c:strRef>
              <c:f>TOTAL!$D$84</c:f>
              <c:strCache>
                <c:ptCount val="1"/>
                <c:pt idx="0">
                  <c:v>백분율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TOTAL!$D$85:$D$110</c:f>
              <c:numCache>
                <c:formatCode>0.00%</c:formatCode>
                <c:ptCount val="26"/>
                <c:pt idx="0">
                  <c:v>0.3344867358708189</c:v>
                </c:pt>
                <c:pt idx="1">
                  <c:v>9.5155709342560554E-2</c:v>
                </c:pt>
                <c:pt idx="2">
                  <c:v>9.4579008073817764E-2</c:v>
                </c:pt>
                <c:pt idx="3">
                  <c:v>8.7081891580161483E-2</c:v>
                </c:pt>
                <c:pt idx="4">
                  <c:v>4.9596309111880045E-2</c:v>
                </c:pt>
                <c:pt idx="5">
                  <c:v>4.8442906574394463E-2</c:v>
                </c:pt>
                <c:pt idx="6">
                  <c:v>4.3829296424452137E-2</c:v>
                </c:pt>
                <c:pt idx="7">
                  <c:v>3.2295271049596307E-2</c:v>
                </c:pt>
                <c:pt idx="8">
                  <c:v>2.768166089965398E-2</c:v>
                </c:pt>
                <c:pt idx="9">
                  <c:v>2.768166089965398E-2</c:v>
                </c:pt>
                <c:pt idx="10">
                  <c:v>2.5951557093425604E-2</c:v>
                </c:pt>
                <c:pt idx="11">
                  <c:v>2.3644752018454441E-2</c:v>
                </c:pt>
                <c:pt idx="12">
                  <c:v>2.0761245674740483E-2</c:v>
                </c:pt>
                <c:pt idx="13">
                  <c:v>2.0184544405997693E-2</c:v>
                </c:pt>
                <c:pt idx="14">
                  <c:v>1.5570934256055362E-2</c:v>
                </c:pt>
                <c:pt idx="15">
                  <c:v>1.2110726643598616E-2</c:v>
                </c:pt>
                <c:pt idx="16">
                  <c:v>1.0957324106113034E-2</c:v>
                </c:pt>
                <c:pt idx="17">
                  <c:v>7.4971164936562858E-3</c:v>
                </c:pt>
                <c:pt idx="18">
                  <c:v>6.920415224913495E-3</c:v>
                </c:pt>
                <c:pt idx="19">
                  <c:v>4.61361014994233E-3</c:v>
                </c:pt>
                <c:pt idx="20">
                  <c:v>2.8835063437139563E-3</c:v>
                </c:pt>
                <c:pt idx="21">
                  <c:v>2.306805074971165E-3</c:v>
                </c:pt>
                <c:pt idx="22">
                  <c:v>1.7301038062283738E-3</c:v>
                </c:pt>
                <c:pt idx="23">
                  <c:v>1.7301038062283738E-3</c:v>
                </c:pt>
                <c:pt idx="24">
                  <c:v>1.7301038062283738E-3</c:v>
                </c:pt>
                <c:pt idx="25">
                  <c:v>5.7670126874279125E-4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BC-4603-A91B-C436D8A531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2137452832"/>
        <c:axId val="2137454752"/>
      </c:barChart>
      <c:catAx>
        <c:axId val="213745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7454752"/>
        <c:crosses val="autoZero"/>
        <c:auto val="1"/>
        <c:lblAlgn val="ctr"/>
        <c:lblOffset val="100"/>
        <c:noMultiLvlLbl val="0"/>
      </c:catAx>
      <c:valAx>
        <c:axId val="21374547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3745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ysClr val="windowText" lastClr="000000"/>
                </a:solidFill>
              </a:rPr>
              <a:t>2024 </a:t>
            </a:r>
            <a:r>
              <a:rPr lang="ko-KR" altLang="en-US" b="1">
                <a:solidFill>
                  <a:sysClr val="windowText" lastClr="000000"/>
                </a:solidFill>
              </a:rPr>
              <a:t>맵 장르 분포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5171742149154059E-2"/>
          <c:y val="0"/>
          <c:w val="0.82965638680436848"/>
          <c:h val="1"/>
        </c:manualLayout>
      </c:layout>
      <c:ofPieChart>
        <c:ofPieType val="pie"/>
        <c:varyColors val="1"/>
        <c:ser>
          <c:idx val="0"/>
          <c:order val="0"/>
          <c:tx>
            <c:strRef>
              <c:f>TOTAL!$B$84</c:f>
              <c:strCache>
                <c:ptCount val="1"/>
                <c:pt idx="0">
                  <c:v>2024 총합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81-487D-A83F-13704C1F2A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19-4E3F-8511-B6E15158B5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19-4E3F-8511-B6E15158B5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19-4E3F-8511-B6E15158B5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619-4E3F-8511-B6E15158B56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619-4E3F-8511-B6E15158B56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619-4E3F-8511-B6E15158B56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D81-487D-A83F-13704C1F2A3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81-487D-A83F-13704C1F2A3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D81-487D-A83F-13704C1F2A3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D81-487D-A83F-13704C1F2A3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D81-487D-A83F-13704C1F2A3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81-487D-A83F-13704C1F2A3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619-4E3F-8511-B6E15158B56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619-4E3F-8511-B6E15158B56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619-4E3F-8511-B6E15158B56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619-4E3F-8511-B6E15158B56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619-4E3F-8511-B6E15158B56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619-4E3F-8511-B6E15158B56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619-4E3F-8511-B6E15158B56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3619-4E3F-8511-B6E15158B56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3619-4E3F-8511-B6E15158B56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619-4E3F-8511-B6E15158B56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3619-4E3F-8511-B6E15158B56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3619-4E3F-8511-B6E15158B56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3619-4E3F-8511-B6E15158B56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3619-4E3F-8511-B6E15158B568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D81-487D-A83F-13704C1F2A3F}"/>
                </c:ext>
              </c:extLst>
            </c:dLbl>
            <c:dLbl>
              <c:idx val="7"/>
              <c:layout>
                <c:manualLayout>
                  <c:x val="-3.4474540149193364E-2"/>
                  <c:y val="-1.954064042919376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D81-487D-A83F-13704C1F2A3F}"/>
                </c:ext>
              </c:extLst>
            </c:dLbl>
            <c:dLbl>
              <c:idx val="8"/>
              <c:layout>
                <c:manualLayout>
                  <c:x val="-2.2773370818768044E-2"/>
                  <c:y val="-2.70794446787004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D81-487D-A83F-13704C1F2A3F}"/>
                </c:ext>
              </c:extLst>
            </c:dLbl>
            <c:dLbl>
              <c:idx val="9"/>
              <c:layout>
                <c:manualLayout>
                  <c:x val="2.1547928231408684E-3"/>
                  <c:y val="-4.19332162070428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D81-487D-A83F-13704C1F2A3F}"/>
                </c:ext>
              </c:extLst>
            </c:dLbl>
            <c:dLbl>
              <c:idx val="10"/>
              <c:layout>
                <c:manualLayout>
                  <c:x val="3.6234966878094245E-4"/>
                  <c:y val="-2.3037606324508155E-2"/>
                </c:manualLayout>
              </c:layout>
              <c:tx>
                <c:rich>
                  <a:bodyPr/>
                  <a:lstStyle/>
                  <a:p>
                    <a:fld id="{3D8C7378-4770-4988-A2C1-F9B5007021C3}" type="CATEGORYNAME">
                      <a:rPr lang="ko-KR" altLang="en-US"/>
                      <a:pPr/>
                      <a:t>[범주 이름]</a:t>
                    </a:fld>
                    <a:r>
                      <a:rPr lang="ko-KR" altLang="en-US" baseline="0"/>
                      <a:t> </a:t>
                    </a:r>
                    <a:fld id="{A0A65A18-FA8B-4F72-8FA4-244DEC803674}" type="PERCENTAGE">
                      <a:rPr lang="en-US" altLang="ko-KR" baseline="0"/>
                      <a:pPr/>
                      <a:t>[백분율]</a:t>
                    </a:fld>
                    <a:endParaRPr lang="ko-KR" alt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ED81-487D-A83F-13704C1F2A3F}"/>
                </c:ext>
              </c:extLst>
            </c:dLbl>
            <c:dLbl>
              <c:idx val="11"/>
              <c:layout>
                <c:manualLayout>
                  <c:x val="3.2562849712912761E-2"/>
                  <c:y val="-4.509053247497488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8542F5F-5FC5-42B8-8767-3806311678ED}" type="CATEGORYNAME">
                      <a:rPr lang="ko-KR" alt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[범주 이름]</a:t>
                    </a:fld>
                    <a:r>
                      <a:rPr lang="ko-KR" altLang="en-US"/>
                      <a:t> </a:t>
                    </a:r>
                    <a:fld id="{27AC3388-541A-4103-9F9A-46BB3D1AEFA1}" type="PERCENTAGE">
                      <a:rPr lang="en-US" altLang="ko-KR" baseline="0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[백분율]</a:t>
                    </a:fld>
                    <a:endParaRPr lang="ko-KR" altLang="en-US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456671885423459E-2"/>
                      <c:h val="3.866476028805029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ED81-487D-A83F-13704C1F2A3F}"/>
                </c:ext>
              </c:extLst>
            </c:dLbl>
            <c:dLbl>
              <c:idx val="12"/>
              <c:layout>
                <c:manualLayout>
                  <c:x val="1.3728214232627852E-2"/>
                  <c:y val="-2.27869774547727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81-487D-A83F-13704C1F2A3F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TOTAL!$A$85:$A$110</c:f>
              <c:strCache>
                <c:ptCount val="26"/>
                <c:pt idx="0">
                  <c:v>맞히기</c:v>
                </c:pt>
                <c:pt idx="1">
                  <c:v>컴까기</c:v>
                </c:pt>
                <c:pt idx="2">
                  <c:v>디펜스</c:v>
                </c:pt>
                <c:pt idx="3">
                  <c:v>대전</c:v>
                </c:pt>
                <c:pt idx="4">
                  <c:v>캠페인</c:v>
                </c:pt>
                <c:pt idx="5">
                  <c:v>RPG</c:v>
                </c:pt>
                <c:pt idx="6">
                  <c:v>컨트롤</c:v>
                </c:pt>
                <c:pt idx="7">
                  <c:v>미니게임</c:v>
                </c:pt>
                <c:pt idx="8">
                  <c:v>디플로메시</c:v>
                </c:pt>
                <c:pt idx="9">
                  <c:v>키우기</c:v>
                </c:pt>
                <c:pt idx="10">
                  <c:v>서바이벌</c:v>
                </c:pt>
                <c:pt idx="11">
                  <c:v>기타</c:v>
                </c:pt>
                <c:pt idx="12">
                  <c:v>블러드</c:v>
                </c:pt>
                <c:pt idx="13">
                  <c:v>호환요청</c:v>
                </c:pt>
                <c:pt idx="14">
                  <c:v>어드벤처</c:v>
                </c:pt>
                <c:pt idx="15">
                  <c:v>공포</c:v>
                </c:pt>
                <c:pt idx="16">
                  <c:v>밀리기반</c:v>
                </c:pt>
                <c:pt idx="17">
                  <c:v>퍼즐</c:v>
                </c:pt>
                <c:pt idx="18">
                  <c:v>오펜스</c:v>
                </c:pt>
                <c:pt idx="19">
                  <c:v>리듬게임</c:v>
                </c:pt>
                <c:pt idx="20">
                  <c:v>탈출</c:v>
                </c:pt>
                <c:pt idx="21">
                  <c:v>추리</c:v>
                </c:pt>
                <c:pt idx="22">
                  <c:v>AOS</c:v>
                </c:pt>
                <c:pt idx="23">
                  <c:v>슈팅</c:v>
                </c:pt>
                <c:pt idx="24">
                  <c:v>병맛</c:v>
                </c:pt>
                <c:pt idx="25">
                  <c:v>영상</c:v>
                </c:pt>
              </c:strCache>
            </c:strRef>
          </c:cat>
          <c:val>
            <c:numRef>
              <c:f>TOTAL!$B$85:$B$110</c:f>
              <c:numCache>
                <c:formatCode>General</c:formatCode>
                <c:ptCount val="26"/>
                <c:pt idx="0">
                  <c:v>580</c:v>
                </c:pt>
                <c:pt idx="1">
                  <c:v>165</c:v>
                </c:pt>
                <c:pt idx="2">
                  <c:v>164</c:v>
                </c:pt>
                <c:pt idx="3">
                  <c:v>151</c:v>
                </c:pt>
                <c:pt idx="4">
                  <c:v>86</c:v>
                </c:pt>
                <c:pt idx="5">
                  <c:v>84</c:v>
                </c:pt>
                <c:pt idx="6">
                  <c:v>76</c:v>
                </c:pt>
                <c:pt idx="7">
                  <c:v>56</c:v>
                </c:pt>
                <c:pt idx="8">
                  <c:v>48</c:v>
                </c:pt>
                <c:pt idx="9">
                  <c:v>48</c:v>
                </c:pt>
                <c:pt idx="10">
                  <c:v>45</c:v>
                </c:pt>
                <c:pt idx="11">
                  <c:v>41</c:v>
                </c:pt>
                <c:pt idx="12">
                  <c:v>36</c:v>
                </c:pt>
                <c:pt idx="13">
                  <c:v>35</c:v>
                </c:pt>
                <c:pt idx="14">
                  <c:v>27</c:v>
                </c:pt>
                <c:pt idx="15">
                  <c:v>21</c:v>
                </c:pt>
                <c:pt idx="16">
                  <c:v>19</c:v>
                </c:pt>
                <c:pt idx="17">
                  <c:v>13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81-487D-A83F-13704C1F2A3F}"/>
            </c:ext>
          </c:extLst>
        </c:ser>
        <c:ser>
          <c:idx val="1"/>
          <c:order val="1"/>
          <c:tx>
            <c:strRef>
              <c:f>TOTAL!$D$84</c:f>
              <c:strCache>
                <c:ptCount val="1"/>
                <c:pt idx="0">
                  <c:v>백분율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3619-4E3F-8511-B6E15158B5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3619-4E3F-8511-B6E15158B5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3619-4E3F-8511-B6E15158B5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3619-4E3F-8511-B6E15158B5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3619-4E3F-8511-B6E15158B56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3619-4E3F-8511-B6E15158B56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3619-4E3F-8511-B6E15158B56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3619-4E3F-8511-B6E15158B56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3619-4E3F-8511-B6E15158B56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3619-4E3F-8511-B6E15158B56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3619-4E3F-8511-B6E15158B56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3619-4E3F-8511-B6E15158B56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3619-4E3F-8511-B6E15158B56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3619-4E3F-8511-B6E15158B56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3619-4E3F-8511-B6E15158B56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3619-4E3F-8511-B6E15158B56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3619-4E3F-8511-B6E15158B56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3619-4E3F-8511-B6E15158B56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3619-4E3F-8511-B6E15158B56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3619-4E3F-8511-B6E15158B56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3619-4E3F-8511-B6E15158B56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3619-4E3F-8511-B6E15158B56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3619-4E3F-8511-B6E15158B56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3619-4E3F-8511-B6E15158B56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3619-4E3F-8511-B6E15158B56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3619-4E3F-8511-B6E15158B56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3619-4E3F-8511-B6E15158B568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TOTAL!$A$85:$A$110</c:f>
              <c:strCache>
                <c:ptCount val="26"/>
                <c:pt idx="0">
                  <c:v>맞히기</c:v>
                </c:pt>
                <c:pt idx="1">
                  <c:v>컴까기</c:v>
                </c:pt>
                <c:pt idx="2">
                  <c:v>디펜스</c:v>
                </c:pt>
                <c:pt idx="3">
                  <c:v>대전</c:v>
                </c:pt>
                <c:pt idx="4">
                  <c:v>캠페인</c:v>
                </c:pt>
                <c:pt idx="5">
                  <c:v>RPG</c:v>
                </c:pt>
                <c:pt idx="6">
                  <c:v>컨트롤</c:v>
                </c:pt>
                <c:pt idx="7">
                  <c:v>미니게임</c:v>
                </c:pt>
                <c:pt idx="8">
                  <c:v>디플로메시</c:v>
                </c:pt>
                <c:pt idx="9">
                  <c:v>키우기</c:v>
                </c:pt>
                <c:pt idx="10">
                  <c:v>서바이벌</c:v>
                </c:pt>
                <c:pt idx="11">
                  <c:v>기타</c:v>
                </c:pt>
                <c:pt idx="12">
                  <c:v>블러드</c:v>
                </c:pt>
                <c:pt idx="13">
                  <c:v>호환요청</c:v>
                </c:pt>
                <c:pt idx="14">
                  <c:v>어드벤처</c:v>
                </c:pt>
                <c:pt idx="15">
                  <c:v>공포</c:v>
                </c:pt>
                <c:pt idx="16">
                  <c:v>밀리기반</c:v>
                </c:pt>
                <c:pt idx="17">
                  <c:v>퍼즐</c:v>
                </c:pt>
                <c:pt idx="18">
                  <c:v>오펜스</c:v>
                </c:pt>
                <c:pt idx="19">
                  <c:v>리듬게임</c:v>
                </c:pt>
                <c:pt idx="20">
                  <c:v>탈출</c:v>
                </c:pt>
                <c:pt idx="21">
                  <c:v>추리</c:v>
                </c:pt>
                <c:pt idx="22">
                  <c:v>AOS</c:v>
                </c:pt>
                <c:pt idx="23">
                  <c:v>슈팅</c:v>
                </c:pt>
                <c:pt idx="24">
                  <c:v>병맛</c:v>
                </c:pt>
                <c:pt idx="25">
                  <c:v>영상</c:v>
                </c:pt>
              </c:strCache>
            </c:strRef>
          </c:cat>
          <c:val>
            <c:numRef>
              <c:f>TOTAL!$D$85:$D$110</c:f>
              <c:numCache>
                <c:formatCode>0.00%</c:formatCode>
                <c:ptCount val="26"/>
                <c:pt idx="0">
                  <c:v>0.3344867358708189</c:v>
                </c:pt>
                <c:pt idx="1">
                  <c:v>9.5155709342560554E-2</c:v>
                </c:pt>
                <c:pt idx="2">
                  <c:v>9.4579008073817764E-2</c:v>
                </c:pt>
                <c:pt idx="3">
                  <c:v>8.7081891580161483E-2</c:v>
                </c:pt>
                <c:pt idx="4">
                  <c:v>4.9596309111880045E-2</c:v>
                </c:pt>
                <c:pt idx="5">
                  <c:v>4.8442906574394463E-2</c:v>
                </c:pt>
                <c:pt idx="6">
                  <c:v>4.3829296424452137E-2</c:v>
                </c:pt>
                <c:pt idx="7">
                  <c:v>3.2295271049596307E-2</c:v>
                </c:pt>
                <c:pt idx="8">
                  <c:v>2.768166089965398E-2</c:v>
                </c:pt>
                <c:pt idx="9">
                  <c:v>2.768166089965398E-2</c:v>
                </c:pt>
                <c:pt idx="10">
                  <c:v>2.5951557093425604E-2</c:v>
                </c:pt>
                <c:pt idx="11">
                  <c:v>2.3644752018454441E-2</c:v>
                </c:pt>
                <c:pt idx="12">
                  <c:v>2.0761245674740483E-2</c:v>
                </c:pt>
                <c:pt idx="13">
                  <c:v>2.0184544405997693E-2</c:v>
                </c:pt>
                <c:pt idx="14">
                  <c:v>1.5570934256055362E-2</c:v>
                </c:pt>
                <c:pt idx="15">
                  <c:v>1.2110726643598616E-2</c:v>
                </c:pt>
                <c:pt idx="16">
                  <c:v>1.0957324106113034E-2</c:v>
                </c:pt>
                <c:pt idx="17">
                  <c:v>7.4971164936562858E-3</c:v>
                </c:pt>
                <c:pt idx="18">
                  <c:v>6.920415224913495E-3</c:v>
                </c:pt>
                <c:pt idx="19">
                  <c:v>4.61361014994233E-3</c:v>
                </c:pt>
                <c:pt idx="20">
                  <c:v>2.8835063437139563E-3</c:v>
                </c:pt>
                <c:pt idx="21">
                  <c:v>2.306805074971165E-3</c:v>
                </c:pt>
                <c:pt idx="22">
                  <c:v>1.7301038062283738E-3</c:v>
                </c:pt>
                <c:pt idx="23">
                  <c:v>1.7301038062283738E-3</c:v>
                </c:pt>
                <c:pt idx="24">
                  <c:v>1.7301038062283738E-3</c:v>
                </c:pt>
                <c:pt idx="25">
                  <c:v>5.7670126874279125E-4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81-487D-A83F-13704C1F2A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ysClr val="windowText" lastClr="000000"/>
                </a:solidFill>
              </a:rPr>
              <a:t>2025</a:t>
            </a:r>
            <a:r>
              <a:rPr lang="ko-KR" altLang="en-US" b="1">
                <a:solidFill>
                  <a:sysClr val="windowText" lastClr="000000"/>
                </a:solidFill>
              </a:rPr>
              <a:t>년 월별 장르 분포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TOTAL!$A$2</c:f>
              <c:strCache>
                <c:ptCount val="1"/>
                <c:pt idx="0">
                  <c:v>맞히기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TOTAL!$B$2:$AF$2</c15:sqref>
                  </c15:fullRef>
                </c:ext>
              </c:extLst>
              <c:f>TOTAL!$U$2:$AF$2</c:f>
              <c:numCache>
                <c:formatCode>0.00%</c:formatCode>
                <c:ptCount val="12"/>
                <c:pt idx="0" formatCode="General">
                  <c:v>50</c:v>
                </c:pt>
                <c:pt idx="1" formatCode="General">
                  <c:v>52</c:v>
                </c:pt>
                <c:pt idx="2" formatCode="General">
                  <c:v>61</c:v>
                </c:pt>
                <c:pt idx="3" formatCode="General">
                  <c:v>44</c:v>
                </c:pt>
                <c:pt idx="4" formatCode="General">
                  <c:v>64</c:v>
                </c:pt>
                <c:pt idx="5" formatCode="General">
                  <c:v>38</c:v>
                </c:pt>
                <c:pt idx="6" formatCode="General">
                  <c:v>44</c:v>
                </c:pt>
                <c:pt idx="7" formatCode="General">
                  <c:v>43</c:v>
                </c:pt>
                <c:pt idx="8" formatCode="General">
                  <c:v>41</c:v>
                </c:pt>
                <c:pt idx="9" formatCode="General">
                  <c:v>44</c:v>
                </c:pt>
                <c:pt idx="10" formatCode="General">
                  <c:v>44</c:v>
                </c:pt>
                <c:pt idx="11" formatCode="General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C-4945-B21A-1B25089861BB}"/>
            </c:ext>
          </c:extLst>
        </c:ser>
        <c:ser>
          <c:idx val="1"/>
          <c:order val="1"/>
          <c:tx>
            <c:strRef>
              <c:f>TOTAL!$A$3</c:f>
              <c:strCache>
                <c:ptCount val="1"/>
                <c:pt idx="0">
                  <c:v>디펜스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TOTAL!$B$3:$AF$3</c15:sqref>
                  </c15:fullRef>
                </c:ext>
              </c:extLst>
              <c:f>TOTAL!$U$3:$AF$3</c:f>
              <c:numCache>
                <c:formatCode>0.00%</c:formatCode>
                <c:ptCount val="12"/>
                <c:pt idx="0" formatCode="General">
                  <c:v>13</c:v>
                </c:pt>
                <c:pt idx="1" formatCode="General">
                  <c:v>15</c:v>
                </c:pt>
                <c:pt idx="2" formatCode="General">
                  <c:v>20</c:v>
                </c:pt>
                <c:pt idx="3" formatCode="General">
                  <c:v>8</c:v>
                </c:pt>
                <c:pt idx="4" formatCode="General">
                  <c:v>8</c:v>
                </c:pt>
                <c:pt idx="5" formatCode="General">
                  <c:v>12</c:v>
                </c:pt>
                <c:pt idx="6" formatCode="General">
                  <c:v>13</c:v>
                </c:pt>
                <c:pt idx="7" formatCode="General">
                  <c:v>14</c:v>
                </c:pt>
                <c:pt idx="8" formatCode="General">
                  <c:v>10</c:v>
                </c:pt>
                <c:pt idx="9" formatCode="General">
                  <c:v>15</c:v>
                </c:pt>
                <c:pt idx="10" formatCode="General">
                  <c:v>8</c:v>
                </c:pt>
                <c:pt idx="11" formatCode="General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AC-4945-B21A-1B25089861BB}"/>
            </c:ext>
          </c:extLst>
        </c:ser>
        <c:ser>
          <c:idx val="2"/>
          <c:order val="2"/>
          <c:tx>
            <c:strRef>
              <c:f>TOTAL!$A$4</c:f>
              <c:strCache>
                <c:ptCount val="1"/>
                <c:pt idx="0">
                  <c:v>컴까기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TOTAL!$B$4:$AF$4</c15:sqref>
                  </c15:fullRef>
                </c:ext>
              </c:extLst>
              <c:f>TOTAL!$U$4:$AF$4</c:f>
              <c:numCache>
                <c:formatCode>0.00%</c:formatCode>
                <c:ptCount val="12"/>
                <c:pt idx="0" formatCode="General">
                  <c:v>12</c:v>
                </c:pt>
                <c:pt idx="1" formatCode="General">
                  <c:v>9</c:v>
                </c:pt>
                <c:pt idx="2" formatCode="General">
                  <c:v>11</c:v>
                </c:pt>
                <c:pt idx="3" formatCode="General">
                  <c:v>8</c:v>
                </c:pt>
                <c:pt idx="4" formatCode="General">
                  <c:v>8</c:v>
                </c:pt>
                <c:pt idx="5" formatCode="General">
                  <c:v>7</c:v>
                </c:pt>
                <c:pt idx="6" formatCode="General">
                  <c:v>17</c:v>
                </c:pt>
                <c:pt idx="7" formatCode="General">
                  <c:v>12</c:v>
                </c:pt>
                <c:pt idx="8" formatCode="General">
                  <c:v>5</c:v>
                </c:pt>
                <c:pt idx="9" formatCode="General">
                  <c:v>13</c:v>
                </c:pt>
                <c:pt idx="10" formatCode="General">
                  <c:v>10</c:v>
                </c:pt>
                <c:pt idx="11" formatCode="General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AC-4945-B21A-1B25089861BB}"/>
            </c:ext>
          </c:extLst>
        </c:ser>
        <c:ser>
          <c:idx val="3"/>
          <c:order val="3"/>
          <c:tx>
            <c:strRef>
              <c:f>TOTAL!$A$5</c:f>
              <c:strCache>
                <c:ptCount val="1"/>
                <c:pt idx="0">
                  <c:v>대전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TOTAL!$B$5:$AF$5</c15:sqref>
                  </c15:fullRef>
                </c:ext>
              </c:extLst>
              <c:f>TOTAL!$U$5:$AF$5</c:f>
              <c:numCache>
                <c:formatCode>0.00%</c:formatCode>
                <c:ptCount val="12"/>
                <c:pt idx="0" formatCode="General">
                  <c:v>10</c:v>
                </c:pt>
                <c:pt idx="1" formatCode="General">
                  <c:v>12</c:v>
                </c:pt>
                <c:pt idx="2" formatCode="General">
                  <c:v>19</c:v>
                </c:pt>
                <c:pt idx="3" formatCode="General">
                  <c:v>12</c:v>
                </c:pt>
                <c:pt idx="4" formatCode="General">
                  <c:v>16</c:v>
                </c:pt>
                <c:pt idx="5" formatCode="General">
                  <c:v>14</c:v>
                </c:pt>
                <c:pt idx="6" formatCode="General">
                  <c:v>16</c:v>
                </c:pt>
                <c:pt idx="7" formatCode="General">
                  <c:v>17</c:v>
                </c:pt>
                <c:pt idx="8" formatCode="General">
                  <c:v>12</c:v>
                </c:pt>
                <c:pt idx="9" formatCode="General">
                  <c:v>6</c:v>
                </c:pt>
                <c:pt idx="10" formatCode="General">
                  <c:v>3</c:v>
                </c:pt>
                <c:pt idx="11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AC-4945-B21A-1B25089861BB}"/>
            </c:ext>
          </c:extLst>
        </c:ser>
        <c:ser>
          <c:idx val="4"/>
          <c:order val="4"/>
          <c:tx>
            <c:strRef>
              <c:f>TOTAL!$A$6</c:f>
              <c:strCache>
                <c:ptCount val="1"/>
                <c:pt idx="0">
                  <c:v>캠페인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TOTAL!$B$6:$AF$6</c15:sqref>
                  </c15:fullRef>
                </c:ext>
              </c:extLst>
              <c:f>TOTAL!$U$6:$AF$6</c:f>
              <c:numCache>
                <c:formatCode>0.00%</c:formatCode>
                <c:ptCount val="12"/>
                <c:pt idx="0" formatCode="General">
                  <c:v>2</c:v>
                </c:pt>
                <c:pt idx="1" formatCode="General">
                  <c:v>13</c:v>
                </c:pt>
                <c:pt idx="2" formatCode="General">
                  <c:v>7</c:v>
                </c:pt>
                <c:pt idx="3" formatCode="General">
                  <c:v>2</c:v>
                </c:pt>
                <c:pt idx="4" formatCode="General">
                  <c:v>3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6</c:v>
                </c:pt>
                <c:pt idx="10" formatCode="General">
                  <c:v>2</c:v>
                </c:pt>
                <c:pt idx="11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AC-4945-B21A-1B25089861BB}"/>
            </c:ext>
          </c:extLst>
        </c:ser>
        <c:ser>
          <c:idx val="5"/>
          <c:order val="5"/>
          <c:tx>
            <c:strRef>
              <c:f>TOTAL!$A$7</c:f>
              <c:strCache>
                <c:ptCount val="1"/>
                <c:pt idx="0">
                  <c:v>컨트롤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TOTAL!$B$7:$AF$7</c15:sqref>
                  </c15:fullRef>
                </c:ext>
              </c:extLst>
              <c:f>TOTAL!$U$7:$AF$7</c:f>
              <c:numCache>
                <c:formatCode>0.00%</c:formatCode>
                <c:ptCount val="12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1</c:v>
                </c:pt>
                <c:pt idx="3" formatCode="General">
                  <c:v>2</c:v>
                </c:pt>
                <c:pt idx="4" formatCode="General">
                  <c:v>3</c:v>
                </c:pt>
                <c:pt idx="5" formatCode="General">
                  <c:v>3</c:v>
                </c:pt>
                <c:pt idx="6" formatCode="General">
                  <c:v>6</c:v>
                </c:pt>
                <c:pt idx="7" formatCode="General">
                  <c:v>15</c:v>
                </c:pt>
                <c:pt idx="8" formatCode="General">
                  <c:v>7</c:v>
                </c:pt>
                <c:pt idx="9" formatCode="General">
                  <c:v>3</c:v>
                </c:pt>
                <c:pt idx="10" formatCode="General">
                  <c:v>5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AC-4945-B21A-1B25089861BB}"/>
            </c:ext>
          </c:extLst>
        </c:ser>
        <c:ser>
          <c:idx val="6"/>
          <c:order val="6"/>
          <c:tx>
            <c:strRef>
              <c:f>TOTAL!$A$8</c:f>
              <c:strCache>
                <c:ptCount val="1"/>
                <c:pt idx="0">
                  <c:v>RPG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TOTAL!$B$8:$AF$8</c15:sqref>
                  </c15:fullRef>
                </c:ext>
              </c:extLst>
              <c:f>TOTAL!$U$8:$AF$8</c:f>
              <c:numCache>
                <c:formatCode>0.00%</c:formatCode>
                <c:ptCount val="12"/>
                <c:pt idx="0" formatCode="General">
                  <c:v>3</c:v>
                </c:pt>
                <c:pt idx="1" formatCode="General">
                  <c:v>4</c:v>
                </c:pt>
                <c:pt idx="2" formatCode="General">
                  <c:v>8</c:v>
                </c:pt>
                <c:pt idx="3" formatCode="General">
                  <c:v>6</c:v>
                </c:pt>
                <c:pt idx="4" formatCode="General">
                  <c:v>11</c:v>
                </c:pt>
                <c:pt idx="5" formatCode="General">
                  <c:v>3</c:v>
                </c:pt>
                <c:pt idx="6" formatCode="General">
                  <c:v>5</c:v>
                </c:pt>
                <c:pt idx="7" formatCode="General">
                  <c:v>8</c:v>
                </c:pt>
                <c:pt idx="8" formatCode="General">
                  <c:v>4</c:v>
                </c:pt>
                <c:pt idx="9" formatCode="General">
                  <c:v>7</c:v>
                </c:pt>
                <c:pt idx="10" formatCode="General">
                  <c:v>1</c:v>
                </c:pt>
                <c:pt idx="11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AC-4945-B21A-1B25089861BB}"/>
            </c:ext>
          </c:extLst>
        </c:ser>
        <c:ser>
          <c:idx val="7"/>
          <c:order val="7"/>
          <c:tx>
            <c:strRef>
              <c:f>TOTAL!$A$9</c:f>
              <c:strCache>
                <c:ptCount val="1"/>
                <c:pt idx="0">
                  <c:v>미니게임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TOTAL!$B$9:$AF$9</c15:sqref>
                  </c15:fullRef>
                </c:ext>
              </c:extLst>
              <c:f>TOTAL!$U$9:$AF$9</c:f>
              <c:numCache>
                <c:formatCode>0.00%</c:formatCode>
                <c:ptCount val="12"/>
                <c:pt idx="0" formatCode="General">
                  <c:v>0</c:v>
                </c:pt>
                <c:pt idx="1" formatCode="General">
                  <c:v>3</c:v>
                </c:pt>
                <c:pt idx="2" formatCode="General">
                  <c:v>2</c:v>
                </c:pt>
                <c:pt idx="3" formatCode="General">
                  <c:v>2</c:v>
                </c:pt>
                <c:pt idx="4" formatCode="General">
                  <c:v>3</c:v>
                </c:pt>
                <c:pt idx="5" formatCode="General">
                  <c:v>2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0</c:v>
                </c:pt>
                <c:pt idx="9" formatCode="General">
                  <c:v>2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AC-4945-B21A-1B25089861BB}"/>
            </c:ext>
          </c:extLst>
        </c:ser>
        <c:ser>
          <c:idx val="8"/>
          <c:order val="8"/>
          <c:tx>
            <c:strRef>
              <c:f>TOTAL!$A$10</c:f>
              <c:strCache>
                <c:ptCount val="1"/>
                <c:pt idx="0">
                  <c:v>기타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TOTAL!$B$10:$AF$10</c15:sqref>
                  </c15:fullRef>
                </c:ext>
              </c:extLst>
              <c:f>TOTAL!$U$10:$AF$10</c:f>
              <c:numCache>
                <c:formatCode>0.00%</c:formatCode>
                <c:ptCount val="12"/>
                <c:pt idx="0" formatCode="General">
                  <c:v>6</c:v>
                </c:pt>
                <c:pt idx="1" formatCode="General">
                  <c:v>2</c:v>
                </c:pt>
                <c:pt idx="2" formatCode="General">
                  <c:v>1</c:v>
                </c:pt>
                <c:pt idx="3" formatCode="General">
                  <c:v>0</c:v>
                </c:pt>
                <c:pt idx="4" formatCode="General">
                  <c:v>1</c:v>
                </c:pt>
                <c:pt idx="5" formatCode="General">
                  <c:v>1</c:v>
                </c:pt>
                <c:pt idx="6" formatCode="General">
                  <c:v>4</c:v>
                </c:pt>
                <c:pt idx="7" formatCode="General">
                  <c:v>3</c:v>
                </c:pt>
                <c:pt idx="8" formatCode="General">
                  <c:v>4</c:v>
                </c:pt>
                <c:pt idx="9" formatCode="General">
                  <c:v>2</c:v>
                </c:pt>
                <c:pt idx="10" formatCode="General">
                  <c:v>2</c:v>
                </c:pt>
                <c:pt idx="11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AC-4945-B21A-1B25089861BB}"/>
            </c:ext>
          </c:extLst>
        </c:ser>
        <c:ser>
          <c:idx val="9"/>
          <c:order val="9"/>
          <c:tx>
            <c:strRef>
              <c:f>TOTAL!$A$11</c:f>
              <c:strCache>
                <c:ptCount val="1"/>
                <c:pt idx="0">
                  <c:v>디플로메시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TOTAL!$B$11:$AF$11</c15:sqref>
                  </c15:fullRef>
                </c:ext>
              </c:extLst>
              <c:f>TOTAL!$U$11:$AF$11</c:f>
              <c:numCache>
                <c:formatCode>0.00%</c:formatCode>
                <c:ptCount val="12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2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1</c:v>
                </c:pt>
                <c:pt idx="6" formatCode="General">
                  <c:v>1</c:v>
                </c:pt>
                <c:pt idx="7" formatCode="General">
                  <c:v>1</c:v>
                </c:pt>
                <c:pt idx="8" formatCode="General">
                  <c:v>1</c:v>
                </c:pt>
                <c:pt idx="9" formatCode="General">
                  <c:v>3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3AC-4945-B21A-1B25089861BB}"/>
            </c:ext>
          </c:extLst>
        </c:ser>
        <c:ser>
          <c:idx val="10"/>
          <c:order val="10"/>
          <c:tx>
            <c:strRef>
              <c:f>TOTAL!$A$12</c:f>
              <c:strCache>
                <c:ptCount val="1"/>
                <c:pt idx="0">
                  <c:v>서바이벌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TOTAL!$B$12:$AF$12</c15:sqref>
                  </c15:fullRef>
                </c:ext>
              </c:extLst>
              <c:f>TOTAL!$U$12:$AF$12</c:f>
              <c:numCache>
                <c:formatCode>0.00%</c:formatCode>
                <c:ptCount val="12"/>
                <c:pt idx="0" formatCode="General">
                  <c:v>4</c:v>
                </c:pt>
                <c:pt idx="1" formatCode="General">
                  <c:v>11</c:v>
                </c:pt>
                <c:pt idx="2" formatCode="General">
                  <c:v>7</c:v>
                </c:pt>
                <c:pt idx="3" formatCode="General">
                  <c:v>3</c:v>
                </c:pt>
                <c:pt idx="4" formatCode="General">
                  <c:v>7</c:v>
                </c:pt>
                <c:pt idx="5" formatCode="General">
                  <c:v>14</c:v>
                </c:pt>
                <c:pt idx="6" formatCode="General">
                  <c:v>10</c:v>
                </c:pt>
                <c:pt idx="7" formatCode="General">
                  <c:v>6</c:v>
                </c:pt>
                <c:pt idx="8" formatCode="General">
                  <c:v>5</c:v>
                </c:pt>
                <c:pt idx="9" formatCode="General">
                  <c:v>6</c:v>
                </c:pt>
                <c:pt idx="10" formatCode="General">
                  <c:v>5</c:v>
                </c:pt>
                <c:pt idx="11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3AC-4945-B21A-1B25089861BB}"/>
            </c:ext>
          </c:extLst>
        </c:ser>
        <c:ser>
          <c:idx val="11"/>
          <c:order val="11"/>
          <c:tx>
            <c:strRef>
              <c:f>TOTAL!$A$13</c:f>
              <c:strCache>
                <c:ptCount val="1"/>
                <c:pt idx="0">
                  <c:v>키우기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TOTAL!$B$13:$AF$13</c15:sqref>
                  </c15:fullRef>
                </c:ext>
              </c:extLst>
              <c:f>TOTAL!$U$13:$AF$13</c:f>
              <c:numCache>
                <c:formatCode>0.00%</c:formatCode>
                <c:ptCount val="12"/>
                <c:pt idx="0" formatCode="General">
                  <c:v>1</c:v>
                </c:pt>
                <c:pt idx="1" formatCode="General">
                  <c:v>5</c:v>
                </c:pt>
                <c:pt idx="2" formatCode="General">
                  <c:v>4</c:v>
                </c:pt>
                <c:pt idx="3" formatCode="General">
                  <c:v>6</c:v>
                </c:pt>
                <c:pt idx="4" formatCode="General">
                  <c:v>4</c:v>
                </c:pt>
                <c:pt idx="5" formatCode="General">
                  <c:v>4</c:v>
                </c:pt>
                <c:pt idx="6" formatCode="General">
                  <c:v>6</c:v>
                </c:pt>
                <c:pt idx="7" formatCode="General">
                  <c:v>4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0</c:v>
                </c:pt>
                <c:pt idx="11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3AC-4945-B21A-1B25089861BB}"/>
            </c:ext>
          </c:extLst>
        </c:ser>
        <c:ser>
          <c:idx val="12"/>
          <c:order val="12"/>
          <c:tx>
            <c:strRef>
              <c:f>TOTAL!$A$14</c:f>
              <c:strCache>
                <c:ptCount val="1"/>
                <c:pt idx="0">
                  <c:v>블러드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TOTAL!$B$14:$AF$14</c15:sqref>
                  </c15:fullRef>
                </c:ext>
              </c:extLst>
              <c:f>TOTAL!$U$14:$AF$14</c:f>
              <c:numCache>
                <c:formatCode>0.00%</c:formatCode>
                <c:ptCount val="12"/>
                <c:pt idx="0" formatCode="General">
                  <c:v>1</c:v>
                </c:pt>
                <c:pt idx="1" formatCode="General">
                  <c:v>0</c:v>
                </c:pt>
                <c:pt idx="2" formatCode="General">
                  <c:v>2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1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1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3AC-4945-B21A-1B25089861BB}"/>
            </c:ext>
          </c:extLst>
        </c:ser>
        <c:ser>
          <c:idx val="13"/>
          <c:order val="13"/>
          <c:tx>
            <c:strRef>
              <c:f>TOTAL!$A$15</c:f>
              <c:strCache>
                <c:ptCount val="1"/>
                <c:pt idx="0">
                  <c:v>어드벤처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TOTAL!$B$15:$AF$15</c15:sqref>
                  </c15:fullRef>
                </c:ext>
              </c:extLst>
              <c:f>TOTAL!$U$15:$AF$15</c:f>
              <c:numCache>
                <c:formatCode>0.00%</c:formatCode>
                <c:ptCount val="12"/>
                <c:pt idx="0" formatCode="General">
                  <c:v>3</c:v>
                </c:pt>
                <c:pt idx="1" formatCode="General">
                  <c:v>0</c:v>
                </c:pt>
                <c:pt idx="2" formatCode="General">
                  <c:v>3</c:v>
                </c:pt>
                <c:pt idx="3" formatCode="General">
                  <c:v>0</c:v>
                </c:pt>
                <c:pt idx="4" formatCode="General">
                  <c:v>1</c:v>
                </c:pt>
                <c:pt idx="5" formatCode="General">
                  <c:v>0</c:v>
                </c:pt>
                <c:pt idx="6" formatCode="General">
                  <c:v>1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1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3AC-4945-B21A-1B25089861BB}"/>
            </c:ext>
          </c:extLst>
        </c:ser>
        <c:ser>
          <c:idx val="14"/>
          <c:order val="14"/>
          <c:tx>
            <c:strRef>
              <c:f>TOTAL!$A$16</c:f>
              <c:strCache>
                <c:ptCount val="1"/>
                <c:pt idx="0">
                  <c:v>밀리기반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TOTAL!$B$16:$AF$16</c15:sqref>
                  </c15:fullRef>
                </c:ext>
              </c:extLst>
              <c:f>TOTAL!$U$16:$AF$16</c:f>
              <c:numCache>
                <c:formatCode>0.00%</c:formatCode>
                <c:ptCount val="12"/>
                <c:pt idx="0" formatCode="General">
                  <c:v>2</c:v>
                </c:pt>
                <c:pt idx="1" formatCode="General">
                  <c:v>3</c:v>
                </c:pt>
                <c:pt idx="2" formatCode="General">
                  <c:v>2</c:v>
                </c:pt>
                <c:pt idx="3" formatCode="General">
                  <c:v>1</c:v>
                </c:pt>
                <c:pt idx="4" formatCode="General">
                  <c:v>9</c:v>
                </c:pt>
                <c:pt idx="5" formatCode="General">
                  <c:v>3</c:v>
                </c:pt>
                <c:pt idx="6" formatCode="General">
                  <c:v>0</c:v>
                </c:pt>
                <c:pt idx="7" formatCode="General">
                  <c:v>1</c:v>
                </c:pt>
                <c:pt idx="8" formatCode="General">
                  <c:v>0</c:v>
                </c:pt>
                <c:pt idx="9" formatCode="General">
                  <c:v>2</c:v>
                </c:pt>
                <c:pt idx="10" formatCode="General">
                  <c:v>1</c:v>
                </c:pt>
                <c:pt idx="11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3AC-4945-B21A-1B25089861BB}"/>
            </c:ext>
          </c:extLst>
        </c:ser>
        <c:ser>
          <c:idx val="15"/>
          <c:order val="15"/>
          <c:tx>
            <c:strRef>
              <c:f>TOTAL!$A$17</c:f>
              <c:strCache>
                <c:ptCount val="1"/>
                <c:pt idx="0">
                  <c:v>호환요청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TOTAL!$B$17:$AF$17</c15:sqref>
                  </c15:fullRef>
                </c:ext>
              </c:extLst>
              <c:f>TOTAL!$U$17:$AF$17</c:f>
              <c:numCache>
                <c:formatCode>0.00%</c:formatCode>
                <c:ptCount val="12"/>
                <c:pt idx="0" formatCode="General">
                  <c:v>6</c:v>
                </c:pt>
                <c:pt idx="1" formatCode="General">
                  <c:v>2</c:v>
                </c:pt>
                <c:pt idx="2" formatCode="General">
                  <c:v>4</c:v>
                </c:pt>
                <c:pt idx="3" formatCode="General">
                  <c:v>6</c:v>
                </c:pt>
                <c:pt idx="4" formatCode="General">
                  <c:v>2</c:v>
                </c:pt>
                <c:pt idx="5" formatCode="General">
                  <c:v>3</c:v>
                </c:pt>
                <c:pt idx="6" formatCode="General">
                  <c:v>2</c:v>
                </c:pt>
                <c:pt idx="7" formatCode="General">
                  <c:v>1</c:v>
                </c:pt>
                <c:pt idx="8" formatCode="General">
                  <c:v>2</c:v>
                </c:pt>
                <c:pt idx="9" formatCode="General">
                  <c:v>2</c:v>
                </c:pt>
                <c:pt idx="10" formatCode="General">
                  <c:v>1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3AC-4945-B21A-1B25089861BB}"/>
            </c:ext>
          </c:extLst>
        </c:ser>
        <c:ser>
          <c:idx val="16"/>
          <c:order val="16"/>
          <c:tx>
            <c:strRef>
              <c:f>TOTAL!$A$18</c:f>
              <c:strCache>
                <c:ptCount val="1"/>
                <c:pt idx="0">
                  <c:v>공포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TOTAL!$B$18:$AF$18</c15:sqref>
                  </c15:fullRef>
                </c:ext>
              </c:extLst>
              <c:f>TOTAL!$U$18:$AF$18</c:f>
              <c:numCache>
                <c:formatCode>0.00%</c:formatCode>
                <c:ptCount val="12"/>
                <c:pt idx="0" formatCode="General">
                  <c:v>2</c:v>
                </c:pt>
                <c:pt idx="1" formatCode="General">
                  <c:v>0</c:v>
                </c:pt>
                <c:pt idx="2" formatCode="General">
                  <c:v>1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1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3AC-4945-B21A-1B25089861BB}"/>
            </c:ext>
          </c:extLst>
        </c:ser>
        <c:ser>
          <c:idx val="17"/>
          <c:order val="17"/>
          <c:tx>
            <c:strRef>
              <c:f>TOTAL!$A$19</c:f>
              <c:strCache>
                <c:ptCount val="1"/>
                <c:pt idx="0">
                  <c:v>퍼즐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TOTAL!$B$19:$AF$19</c15:sqref>
                  </c15:fullRef>
                </c:ext>
              </c:extLst>
              <c:f>TOTAL!$U$19:$AF$19</c:f>
              <c:numCache>
                <c:formatCode>0.00%</c:formatCode>
                <c:ptCount val="12"/>
                <c:pt idx="0" formatCode="General">
                  <c:v>2</c:v>
                </c:pt>
                <c:pt idx="1" formatCode="General">
                  <c:v>2</c:v>
                </c:pt>
                <c:pt idx="2" formatCode="General">
                  <c:v>3</c:v>
                </c:pt>
                <c:pt idx="3" formatCode="General">
                  <c:v>3</c:v>
                </c:pt>
                <c:pt idx="4" formatCode="General">
                  <c:v>2</c:v>
                </c:pt>
                <c:pt idx="5" formatCode="General">
                  <c:v>1</c:v>
                </c:pt>
                <c:pt idx="6" formatCode="General">
                  <c:v>1</c:v>
                </c:pt>
                <c:pt idx="7" formatCode="General">
                  <c:v>1</c:v>
                </c:pt>
                <c:pt idx="8" formatCode="General">
                  <c:v>1</c:v>
                </c:pt>
                <c:pt idx="9" formatCode="General">
                  <c:v>3</c:v>
                </c:pt>
                <c:pt idx="10" formatCode="General">
                  <c:v>1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3AC-4945-B21A-1B25089861BB}"/>
            </c:ext>
          </c:extLst>
        </c:ser>
        <c:ser>
          <c:idx val="18"/>
          <c:order val="18"/>
          <c:tx>
            <c:strRef>
              <c:f>TOTAL!$A$20</c:f>
              <c:strCache>
                <c:ptCount val="1"/>
                <c:pt idx="0">
                  <c:v>오펜스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TOTAL!$B$20:$AF$20</c15:sqref>
                  </c15:fullRef>
                </c:ext>
              </c:extLst>
              <c:f>TOTAL!$U$20:$AF$20</c:f>
              <c:numCache>
                <c:formatCode>0.00%</c:formatCode>
                <c:ptCount val="12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1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3</c:v>
                </c:pt>
                <c:pt idx="11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3AC-4945-B21A-1B25089861BB}"/>
            </c:ext>
          </c:extLst>
        </c:ser>
        <c:ser>
          <c:idx val="19"/>
          <c:order val="19"/>
          <c:tx>
            <c:strRef>
              <c:f>TOTAL!$A$21</c:f>
              <c:strCache>
                <c:ptCount val="1"/>
                <c:pt idx="0">
                  <c:v>리듬게임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TOTAL!$B$21:$AF$21</c15:sqref>
                  </c15:fullRef>
                </c:ext>
              </c:extLst>
              <c:f>TOTAL!$U$21:$AF$21</c:f>
              <c:numCache>
                <c:formatCode>0.00%</c:formatCode>
                <c:ptCount val="12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1</c:v>
                </c:pt>
                <c:pt idx="4" formatCode="General">
                  <c:v>1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1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3AC-4945-B21A-1B25089861BB}"/>
            </c:ext>
          </c:extLst>
        </c:ser>
        <c:ser>
          <c:idx val="20"/>
          <c:order val="20"/>
          <c:tx>
            <c:strRef>
              <c:f>TOTAL!$A$22</c:f>
              <c:strCache>
                <c:ptCount val="1"/>
                <c:pt idx="0">
                  <c:v>탈출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TOTAL!$B$22:$AF$22</c15:sqref>
                  </c15:fullRef>
                </c:ext>
              </c:extLst>
              <c:f>TOTAL!$U$22:$AF$22</c:f>
              <c:numCache>
                <c:formatCode>0.00%</c:formatCode>
                <c:ptCount val="12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0</c:v>
                </c:pt>
                <c:pt idx="3" formatCode="General">
                  <c:v>2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2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3AC-4945-B21A-1B25089861BB}"/>
            </c:ext>
          </c:extLst>
        </c:ser>
        <c:ser>
          <c:idx val="21"/>
          <c:order val="21"/>
          <c:tx>
            <c:strRef>
              <c:f>TOTAL!$A$23</c:f>
              <c:strCache>
                <c:ptCount val="1"/>
                <c:pt idx="0">
                  <c:v>AOS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TOTAL!$B$23:$AF$23</c15:sqref>
                  </c15:fullRef>
                </c:ext>
              </c:extLst>
              <c:f>TOTAL!$U$23:$AF$23</c:f>
              <c:numCache>
                <c:formatCode>0.00%</c:formatCode>
                <c:ptCount val="12"/>
                <c:pt idx="0" formatCode="General">
                  <c:v>1</c:v>
                </c:pt>
                <c:pt idx="1" formatCode="General">
                  <c:v>1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1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3AC-4945-B21A-1B25089861BB}"/>
            </c:ext>
          </c:extLst>
        </c:ser>
        <c:ser>
          <c:idx val="22"/>
          <c:order val="22"/>
          <c:tx>
            <c:strRef>
              <c:f>TOTAL!$A$24</c:f>
              <c:strCache>
                <c:ptCount val="1"/>
                <c:pt idx="0">
                  <c:v>슈팅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TOTAL!$B$24:$AF$24</c15:sqref>
                  </c15:fullRef>
                </c:ext>
              </c:extLst>
              <c:f>TOTAL!$U$24:$AF$24</c:f>
              <c:numCache>
                <c:formatCode>0.00%</c:formatCode>
                <c:ptCount val="12"/>
                <c:pt idx="0" formatCode="General">
                  <c:v>1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1</c:v>
                </c:pt>
                <c:pt idx="4" formatCode="General">
                  <c:v>0</c:v>
                </c:pt>
                <c:pt idx="5" formatCode="General">
                  <c:v>1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3AC-4945-B21A-1B25089861BB}"/>
            </c:ext>
          </c:extLst>
        </c:ser>
        <c:ser>
          <c:idx val="23"/>
          <c:order val="23"/>
          <c:tx>
            <c:strRef>
              <c:f>TOTAL!$A$25</c:f>
              <c:strCache>
                <c:ptCount val="1"/>
                <c:pt idx="0">
                  <c:v>추리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TOTAL!$B$25:$AF$25</c15:sqref>
                  </c15:fullRef>
                </c:ext>
              </c:extLst>
              <c:f>TOTAL!$U$25:$AF$25</c:f>
              <c:numCache>
                <c:formatCode>0.00%</c:formatCode>
                <c:ptCount val="12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1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3AC-4945-B21A-1B25089861BB}"/>
            </c:ext>
          </c:extLst>
        </c:ser>
        <c:ser>
          <c:idx val="24"/>
          <c:order val="24"/>
          <c:tx>
            <c:strRef>
              <c:f>TOTAL!$A$26</c:f>
              <c:strCache>
                <c:ptCount val="1"/>
                <c:pt idx="0">
                  <c:v>병맛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TOTAL!$B$26:$AF$26</c15:sqref>
                  </c15:fullRef>
                </c:ext>
              </c:extLst>
              <c:f>TOTAL!$U$26:$AF$26</c:f>
              <c:numCache>
                <c:formatCode>0.00%</c:formatCode>
                <c:ptCount val="12"/>
                <c:pt idx="0" formatCode="General">
                  <c:v>0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2</c:v>
                </c:pt>
                <c:pt idx="8" formatCode="General">
                  <c:v>0</c:v>
                </c:pt>
                <c:pt idx="9" formatCode="General">
                  <c:v>1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3AC-4945-B21A-1B25089861BB}"/>
            </c:ext>
          </c:extLst>
        </c:ser>
        <c:ser>
          <c:idx val="25"/>
          <c:order val="25"/>
          <c:tx>
            <c:strRef>
              <c:f>TOTAL!$A$27</c:f>
              <c:strCache>
                <c:ptCount val="1"/>
                <c:pt idx="0">
                  <c:v>영상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TOTAL!$B$27:$AF$27</c15:sqref>
                  </c15:fullRef>
                </c:ext>
              </c:extLst>
              <c:f>TOTAL!$U$27:$AF$27</c:f>
              <c:numCache>
                <c:formatCode>0.00%</c:formatCode>
                <c:ptCount val="12"/>
                <c:pt idx="0" formatCode="General">
                  <c:v>1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3AC-4945-B21A-1B25089861BB}"/>
            </c:ext>
          </c:extLst>
        </c:ser>
        <c:ser>
          <c:idx val="26"/>
          <c:order val="26"/>
          <c:tx>
            <c:strRef>
              <c:f>TOTAL!$A$28</c:f>
              <c:strCache>
                <c:ptCount val="1"/>
                <c:pt idx="0">
                  <c:v>레이싱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TOTAL!$B$1:$AF$1</c15:sqref>
                  </c15:fullRef>
                </c:ext>
              </c:extLst>
              <c:f>TOTAL!$U$1:$AF$1</c:f>
              <c:strCache>
                <c:ptCount val="12"/>
                <c:pt idx="0">
                  <c:v>25/1/1</c:v>
                </c:pt>
                <c:pt idx="1">
                  <c:v>25/2/1</c:v>
                </c:pt>
                <c:pt idx="2">
                  <c:v>25/3/1</c:v>
                </c:pt>
                <c:pt idx="3">
                  <c:v>25/4/1</c:v>
                </c:pt>
                <c:pt idx="4">
                  <c:v>25/5/1</c:v>
                </c:pt>
                <c:pt idx="5">
                  <c:v>25/6/1</c:v>
                </c:pt>
                <c:pt idx="6">
                  <c:v>25/7/1</c:v>
                </c:pt>
                <c:pt idx="7">
                  <c:v>25/8/1</c:v>
                </c:pt>
                <c:pt idx="8">
                  <c:v>25/9/1</c:v>
                </c:pt>
                <c:pt idx="9">
                  <c:v>25/10/1</c:v>
                </c:pt>
                <c:pt idx="10">
                  <c:v>25/11/1</c:v>
                </c:pt>
                <c:pt idx="11">
                  <c:v>25/12/1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TOTAL!$B$28:$AF$28</c15:sqref>
                  </c15:fullRef>
                </c:ext>
              </c:extLst>
              <c:f>TOTAL!$U$28:$AF$28</c:f>
              <c:numCache>
                <c:formatCode>0.00%</c:formatCode>
                <c:ptCount val="12"/>
                <c:pt idx="0" formatCode="General">
                  <c:v>0</c:v>
                </c:pt>
                <c:pt idx="1" formatCode="General">
                  <c:v>1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3AC-4945-B21A-1B2508986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0436560"/>
        <c:axId val="620434160"/>
      </c:barChart>
      <c:dateAx>
        <c:axId val="620436560"/>
        <c:scaling>
          <c:orientation val="minMax"/>
        </c:scaling>
        <c:delete val="0"/>
        <c:axPos val="b"/>
        <c:numFmt formatCode="yy&quot;/&quot;m&quot;/&quot;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0434160"/>
        <c:crosses val="autoZero"/>
        <c:auto val="1"/>
        <c:lblOffset val="100"/>
        <c:baseTimeUnit val="months"/>
      </c:dateAx>
      <c:valAx>
        <c:axId val="62043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043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ysClr val="windowText" lastClr="000000"/>
                </a:solidFill>
              </a:rPr>
              <a:t>2024 </a:t>
            </a:r>
            <a:r>
              <a:rPr lang="ko-KR" altLang="en-US" b="1">
                <a:solidFill>
                  <a:sysClr val="windowText" lastClr="000000"/>
                </a:solidFill>
              </a:rPr>
              <a:t>맵 장르 분포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5171742149154059E-2"/>
          <c:y val="0"/>
          <c:w val="0.82965638680436848"/>
          <c:h val="1"/>
        </c:manualLayout>
      </c:layout>
      <c:ofPieChart>
        <c:ofPieType val="pie"/>
        <c:varyColors val="1"/>
        <c:ser>
          <c:idx val="0"/>
          <c:order val="0"/>
          <c:tx>
            <c:strRef>
              <c:f>TOTAL!$B$84</c:f>
              <c:strCache>
                <c:ptCount val="1"/>
                <c:pt idx="0">
                  <c:v>2024 총합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C6-4001-9184-00E4BE7D91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C6-4001-9184-00E4BE7D91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C6-4001-9184-00E4BE7D91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CC6-4001-9184-00E4BE7D91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CC6-4001-9184-00E4BE7D91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CC6-4001-9184-00E4BE7D91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CC6-4001-9184-00E4BE7D91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CC6-4001-9184-00E4BE7D91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CC6-4001-9184-00E4BE7D913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CC6-4001-9184-00E4BE7D913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CC6-4001-9184-00E4BE7D913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CC6-4001-9184-00E4BE7D913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CC6-4001-9184-00E4BE7D913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CC6-4001-9184-00E4BE7D913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CC6-4001-9184-00E4BE7D913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CC6-4001-9184-00E4BE7D913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CC6-4001-9184-00E4BE7D913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CC6-4001-9184-00E4BE7D913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CC6-4001-9184-00E4BE7D913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CC6-4001-9184-00E4BE7D913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CC6-4001-9184-00E4BE7D913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CC6-4001-9184-00E4BE7D913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CC6-4001-9184-00E4BE7D913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CC6-4001-9184-00E4BE7D913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CC6-4001-9184-00E4BE7D913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CC6-4001-9184-00E4BE7D913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CC6-4001-9184-00E4BE7D9136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CC6-4001-9184-00E4BE7D9136}"/>
                </c:ext>
              </c:extLst>
            </c:dLbl>
            <c:dLbl>
              <c:idx val="7"/>
              <c:layout>
                <c:manualLayout>
                  <c:x val="-3.4474540149193364E-2"/>
                  <c:y val="-1.954064042919376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CC6-4001-9184-00E4BE7D9136}"/>
                </c:ext>
              </c:extLst>
            </c:dLbl>
            <c:dLbl>
              <c:idx val="8"/>
              <c:layout>
                <c:manualLayout>
                  <c:x val="-2.2773370818768044E-2"/>
                  <c:y val="-2.70794446787004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CC6-4001-9184-00E4BE7D9136}"/>
                </c:ext>
              </c:extLst>
            </c:dLbl>
            <c:dLbl>
              <c:idx val="9"/>
              <c:layout>
                <c:manualLayout>
                  <c:x val="2.1547928231408684E-3"/>
                  <c:y val="-4.19332162070428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CC6-4001-9184-00E4BE7D9136}"/>
                </c:ext>
              </c:extLst>
            </c:dLbl>
            <c:dLbl>
              <c:idx val="10"/>
              <c:layout>
                <c:manualLayout>
                  <c:x val="3.6234966878094245E-4"/>
                  <c:y val="-2.3037606324508155E-2"/>
                </c:manualLayout>
              </c:layout>
              <c:tx>
                <c:rich>
                  <a:bodyPr/>
                  <a:lstStyle/>
                  <a:p>
                    <a:fld id="{3D8C7378-4770-4988-A2C1-F9B5007021C3}" type="CATEGORYNAME">
                      <a:rPr lang="ko-KR" altLang="en-US"/>
                      <a:pPr/>
                      <a:t>[범주 이름]</a:t>
                    </a:fld>
                    <a:r>
                      <a:rPr lang="ko-KR" altLang="en-US" baseline="0"/>
                      <a:t> </a:t>
                    </a:r>
                    <a:fld id="{A0A65A18-FA8B-4F72-8FA4-244DEC803674}" type="PERCENTAGE">
                      <a:rPr lang="en-US" altLang="ko-KR" baseline="0"/>
                      <a:pPr/>
                      <a:t>[백분율]</a:t>
                    </a:fld>
                    <a:endParaRPr lang="ko-KR" alt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5-6CC6-4001-9184-00E4BE7D9136}"/>
                </c:ext>
              </c:extLst>
            </c:dLbl>
            <c:dLbl>
              <c:idx val="11"/>
              <c:layout>
                <c:manualLayout>
                  <c:x val="3.2562849712912761E-2"/>
                  <c:y val="-4.509053247497488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8542F5F-5FC5-42B8-8767-3806311678ED}" type="CATEGORYNAME">
                      <a:rPr lang="ko-KR" altLang="en-US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[범주 이름]</a:t>
                    </a:fld>
                    <a:r>
                      <a:rPr lang="ko-KR" altLang="en-US"/>
                      <a:t> </a:t>
                    </a:r>
                    <a:fld id="{27AC3388-541A-4103-9F9A-46BB3D1AEFA1}" type="PERCENTAGE">
                      <a:rPr lang="en-US" altLang="ko-KR" baseline="0"/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[백분율]</a:t>
                    </a:fld>
                    <a:endParaRPr lang="ko-KR" altLang="en-US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456671885423459E-2"/>
                      <c:h val="3.866476028805029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7-6CC6-4001-9184-00E4BE7D9136}"/>
                </c:ext>
              </c:extLst>
            </c:dLbl>
            <c:dLbl>
              <c:idx val="12"/>
              <c:layout>
                <c:manualLayout>
                  <c:x val="1.3728214232627852E-2"/>
                  <c:y val="-2.27869774547727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CC6-4001-9184-00E4BE7D9136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TOTAL!$A$85:$A$110</c:f>
              <c:strCache>
                <c:ptCount val="26"/>
                <c:pt idx="0">
                  <c:v>맞히기</c:v>
                </c:pt>
                <c:pt idx="1">
                  <c:v>컴까기</c:v>
                </c:pt>
                <c:pt idx="2">
                  <c:v>디펜스</c:v>
                </c:pt>
                <c:pt idx="3">
                  <c:v>대전</c:v>
                </c:pt>
                <c:pt idx="4">
                  <c:v>캠페인</c:v>
                </c:pt>
                <c:pt idx="5">
                  <c:v>RPG</c:v>
                </c:pt>
                <c:pt idx="6">
                  <c:v>컨트롤</c:v>
                </c:pt>
                <c:pt idx="7">
                  <c:v>미니게임</c:v>
                </c:pt>
                <c:pt idx="8">
                  <c:v>디플로메시</c:v>
                </c:pt>
                <c:pt idx="9">
                  <c:v>키우기</c:v>
                </c:pt>
                <c:pt idx="10">
                  <c:v>서바이벌</c:v>
                </c:pt>
                <c:pt idx="11">
                  <c:v>기타</c:v>
                </c:pt>
                <c:pt idx="12">
                  <c:v>블러드</c:v>
                </c:pt>
                <c:pt idx="13">
                  <c:v>호환요청</c:v>
                </c:pt>
                <c:pt idx="14">
                  <c:v>어드벤처</c:v>
                </c:pt>
                <c:pt idx="15">
                  <c:v>공포</c:v>
                </c:pt>
                <c:pt idx="16">
                  <c:v>밀리기반</c:v>
                </c:pt>
                <c:pt idx="17">
                  <c:v>퍼즐</c:v>
                </c:pt>
                <c:pt idx="18">
                  <c:v>오펜스</c:v>
                </c:pt>
                <c:pt idx="19">
                  <c:v>리듬게임</c:v>
                </c:pt>
                <c:pt idx="20">
                  <c:v>탈출</c:v>
                </c:pt>
                <c:pt idx="21">
                  <c:v>추리</c:v>
                </c:pt>
                <c:pt idx="22">
                  <c:v>AOS</c:v>
                </c:pt>
                <c:pt idx="23">
                  <c:v>슈팅</c:v>
                </c:pt>
                <c:pt idx="24">
                  <c:v>병맛</c:v>
                </c:pt>
                <c:pt idx="25">
                  <c:v>영상</c:v>
                </c:pt>
              </c:strCache>
            </c:strRef>
          </c:cat>
          <c:val>
            <c:numRef>
              <c:f>TOTAL!$B$85:$B$110</c:f>
              <c:numCache>
                <c:formatCode>General</c:formatCode>
                <c:ptCount val="26"/>
                <c:pt idx="0">
                  <c:v>580</c:v>
                </c:pt>
                <c:pt idx="1">
                  <c:v>165</c:v>
                </c:pt>
                <c:pt idx="2">
                  <c:v>164</c:v>
                </c:pt>
                <c:pt idx="3">
                  <c:v>151</c:v>
                </c:pt>
                <c:pt idx="4">
                  <c:v>86</c:v>
                </c:pt>
                <c:pt idx="5">
                  <c:v>84</c:v>
                </c:pt>
                <c:pt idx="6">
                  <c:v>76</c:v>
                </c:pt>
                <c:pt idx="7">
                  <c:v>56</c:v>
                </c:pt>
                <c:pt idx="8">
                  <c:v>48</c:v>
                </c:pt>
                <c:pt idx="9">
                  <c:v>48</c:v>
                </c:pt>
                <c:pt idx="10">
                  <c:v>45</c:v>
                </c:pt>
                <c:pt idx="11">
                  <c:v>41</c:v>
                </c:pt>
                <c:pt idx="12">
                  <c:v>36</c:v>
                </c:pt>
                <c:pt idx="13">
                  <c:v>35</c:v>
                </c:pt>
                <c:pt idx="14">
                  <c:v>27</c:v>
                </c:pt>
                <c:pt idx="15">
                  <c:v>21</c:v>
                </c:pt>
                <c:pt idx="16">
                  <c:v>19</c:v>
                </c:pt>
                <c:pt idx="17">
                  <c:v>13</c:v>
                </c:pt>
                <c:pt idx="18">
                  <c:v>12</c:v>
                </c:pt>
                <c:pt idx="19">
                  <c:v>8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6CC6-4001-9184-00E4BE7D9136}"/>
            </c:ext>
          </c:extLst>
        </c:ser>
        <c:ser>
          <c:idx val="1"/>
          <c:order val="1"/>
          <c:tx>
            <c:strRef>
              <c:f>TOTAL!$D$84</c:f>
              <c:strCache>
                <c:ptCount val="1"/>
                <c:pt idx="0">
                  <c:v>백분율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6CC6-4001-9184-00E4BE7D91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6CC6-4001-9184-00E4BE7D91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6CC6-4001-9184-00E4BE7D91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6CC6-4001-9184-00E4BE7D91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6CC6-4001-9184-00E4BE7D91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6CC6-4001-9184-00E4BE7D91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6CC6-4001-9184-00E4BE7D91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6CC6-4001-9184-00E4BE7D91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6CC6-4001-9184-00E4BE7D913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6CC6-4001-9184-00E4BE7D913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6CC6-4001-9184-00E4BE7D913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6CC6-4001-9184-00E4BE7D913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6CC6-4001-9184-00E4BE7D913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6CC6-4001-9184-00E4BE7D913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6CC6-4001-9184-00E4BE7D913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6-6CC6-4001-9184-00E4BE7D913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8-6CC6-4001-9184-00E4BE7D913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A-6CC6-4001-9184-00E4BE7D913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C-6CC6-4001-9184-00E4BE7D913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E-6CC6-4001-9184-00E4BE7D913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0-6CC6-4001-9184-00E4BE7D913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2-6CC6-4001-9184-00E4BE7D913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4-6CC6-4001-9184-00E4BE7D913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6-6CC6-4001-9184-00E4BE7D913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8-6CC6-4001-9184-00E4BE7D913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A-6CC6-4001-9184-00E4BE7D913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C-6CC6-4001-9184-00E4BE7D9136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TOTAL!$A$85:$A$110</c:f>
              <c:strCache>
                <c:ptCount val="26"/>
                <c:pt idx="0">
                  <c:v>맞히기</c:v>
                </c:pt>
                <c:pt idx="1">
                  <c:v>컴까기</c:v>
                </c:pt>
                <c:pt idx="2">
                  <c:v>디펜스</c:v>
                </c:pt>
                <c:pt idx="3">
                  <c:v>대전</c:v>
                </c:pt>
                <c:pt idx="4">
                  <c:v>캠페인</c:v>
                </c:pt>
                <c:pt idx="5">
                  <c:v>RPG</c:v>
                </c:pt>
                <c:pt idx="6">
                  <c:v>컨트롤</c:v>
                </c:pt>
                <c:pt idx="7">
                  <c:v>미니게임</c:v>
                </c:pt>
                <c:pt idx="8">
                  <c:v>디플로메시</c:v>
                </c:pt>
                <c:pt idx="9">
                  <c:v>키우기</c:v>
                </c:pt>
                <c:pt idx="10">
                  <c:v>서바이벌</c:v>
                </c:pt>
                <c:pt idx="11">
                  <c:v>기타</c:v>
                </c:pt>
                <c:pt idx="12">
                  <c:v>블러드</c:v>
                </c:pt>
                <c:pt idx="13">
                  <c:v>호환요청</c:v>
                </c:pt>
                <c:pt idx="14">
                  <c:v>어드벤처</c:v>
                </c:pt>
                <c:pt idx="15">
                  <c:v>공포</c:v>
                </c:pt>
                <c:pt idx="16">
                  <c:v>밀리기반</c:v>
                </c:pt>
                <c:pt idx="17">
                  <c:v>퍼즐</c:v>
                </c:pt>
                <c:pt idx="18">
                  <c:v>오펜스</c:v>
                </c:pt>
                <c:pt idx="19">
                  <c:v>리듬게임</c:v>
                </c:pt>
                <c:pt idx="20">
                  <c:v>탈출</c:v>
                </c:pt>
                <c:pt idx="21">
                  <c:v>추리</c:v>
                </c:pt>
                <c:pt idx="22">
                  <c:v>AOS</c:v>
                </c:pt>
                <c:pt idx="23">
                  <c:v>슈팅</c:v>
                </c:pt>
                <c:pt idx="24">
                  <c:v>병맛</c:v>
                </c:pt>
                <c:pt idx="25">
                  <c:v>영상</c:v>
                </c:pt>
              </c:strCache>
            </c:strRef>
          </c:cat>
          <c:val>
            <c:numRef>
              <c:f>TOTAL!$D$85:$D$110</c:f>
              <c:numCache>
                <c:formatCode>0.00%</c:formatCode>
                <c:ptCount val="26"/>
                <c:pt idx="0">
                  <c:v>0.3344867358708189</c:v>
                </c:pt>
                <c:pt idx="1">
                  <c:v>9.5155709342560554E-2</c:v>
                </c:pt>
                <c:pt idx="2">
                  <c:v>9.4579008073817764E-2</c:v>
                </c:pt>
                <c:pt idx="3">
                  <c:v>8.7081891580161483E-2</c:v>
                </c:pt>
                <c:pt idx="4">
                  <c:v>4.9596309111880045E-2</c:v>
                </c:pt>
                <c:pt idx="5">
                  <c:v>4.8442906574394463E-2</c:v>
                </c:pt>
                <c:pt idx="6">
                  <c:v>4.3829296424452137E-2</c:v>
                </c:pt>
                <c:pt idx="7">
                  <c:v>3.2295271049596307E-2</c:v>
                </c:pt>
                <c:pt idx="8">
                  <c:v>2.768166089965398E-2</c:v>
                </c:pt>
                <c:pt idx="9">
                  <c:v>2.768166089965398E-2</c:v>
                </c:pt>
                <c:pt idx="10">
                  <c:v>2.5951557093425604E-2</c:v>
                </c:pt>
                <c:pt idx="11">
                  <c:v>2.3644752018454441E-2</c:v>
                </c:pt>
                <c:pt idx="12">
                  <c:v>2.0761245674740483E-2</c:v>
                </c:pt>
                <c:pt idx="13">
                  <c:v>2.0184544405997693E-2</c:v>
                </c:pt>
                <c:pt idx="14">
                  <c:v>1.5570934256055362E-2</c:v>
                </c:pt>
                <c:pt idx="15">
                  <c:v>1.2110726643598616E-2</c:v>
                </c:pt>
                <c:pt idx="16">
                  <c:v>1.0957324106113034E-2</c:v>
                </c:pt>
                <c:pt idx="17">
                  <c:v>7.4971164936562858E-3</c:v>
                </c:pt>
                <c:pt idx="18">
                  <c:v>6.920415224913495E-3</c:v>
                </c:pt>
                <c:pt idx="19">
                  <c:v>4.61361014994233E-3</c:v>
                </c:pt>
                <c:pt idx="20">
                  <c:v>2.8835063437139563E-3</c:v>
                </c:pt>
                <c:pt idx="21">
                  <c:v>2.306805074971165E-3</c:v>
                </c:pt>
                <c:pt idx="22">
                  <c:v>1.7301038062283738E-3</c:v>
                </c:pt>
                <c:pt idx="23">
                  <c:v>1.7301038062283738E-3</c:v>
                </c:pt>
                <c:pt idx="24">
                  <c:v>1.7301038062283738E-3</c:v>
                </c:pt>
                <c:pt idx="25">
                  <c:v>5.7670126874279125E-4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6CC6-4001-9184-00E4BE7D91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유입분석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맞히기 관련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Sheet2!$B$1:$AD$1</c:f>
              <c:strCache>
                <c:ptCount val="29"/>
                <c:pt idx="0">
                  <c:v>2022-08-22 (week)</c:v>
                </c:pt>
                <c:pt idx="1">
                  <c:v>2022-08-29 (week)</c:v>
                </c:pt>
                <c:pt idx="2">
                  <c:v>2022-09-05 (week)</c:v>
                </c:pt>
                <c:pt idx="3">
                  <c:v>2022-09-12 (week)</c:v>
                </c:pt>
                <c:pt idx="4">
                  <c:v>2022-09-19 (week)</c:v>
                </c:pt>
                <c:pt idx="5">
                  <c:v>2022-09-26 (week)</c:v>
                </c:pt>
                <c:pt idx="6">
                  <c:v>2022-10-03 (week)</c:v>
                </c:pt>
                <c:pt idx="7">
                  <c:v>2022-10-10 (week)</c:v>
                </c:pt>
                <c:pt idx="8">
                  <c:v>2022-10-17 (week)</c:v>
                </c:pt>
                <c:pt idx="9">
                  <c:v>2022-10-24 (week)</c:v>
                </c:pt>
                <c:pt idx="10">
                  <c:v>2022-10-31 (week)</c:v>
                </c:pt>
                <c:pt idx="11">
                  <c:v>2022-11-07 (week)</c:v>
                </c:pt>
                <c:pt idx="12">
                  <c:v>2022-11-14 (week)</c:v>
                </c:pt>
                <c:pt idx="13">
                  <c:v>2022-11-21 (week)</c:v>
                </c:pt>
                <c:pt idx="14">
                  <c:v>2022-11-28 (week)</c:v>
                </c:pt>
                <c:pt idx="15">
                  <c:v>2022-12-05 (week)</c:v>
                </c:pt>
                <c:pt idx="16">
                  <c:v>2022-12-12 (week)</c:v>
                </c:pt>
                <c:pt idx="17">
                  <c:v>2022-12-19 (week)</c:v>
                </c:pt>
                <c:pt idx="18">
                  <c:v>2022-12-26 (week)</c:v>
                </c:pt>
                <c:pt idx="19">
                  <c:v>2023-01-02 (week)</c:v>
                </c:pt>
                <c:pt idx="20">
                  <c:v>2023-01-09 (week)</c:v>
                </c:pt>
                <c:pt idx="21">
                  <c:v>2023-01-16 (week)</c:v>
                </c:pt>
                <c:pt idx="22">
                  <c:v>2023-01-23 (week)</c:v>
                </c:pt>
                <c:pt idx="23">
                  <c:v>2023-01-30 (week)</c:v>
                </c:pt>
                <c:pt idx="24">
                  <c:v>2023-02-06 (week)</c:v>
                </c:pt>
                <c:pt idx="25">
                  <c:v>2023-02-13 (week)</c:v>
                </c:pt>
                <c:pt idx="26">
                  <c:v>2023-02-20 (week)</c:v>
                </c:pt>
                <c:pt idx="27">
                  <c:v>2023-02-27 (week)</c:v>
                </c:pt>
                <c:pt idx="28">
                  <c:v>2023-03-06 (week)</c:v>
                </c:pt>
              </c:strCache>
            </c:strRef>
          </c:cat>
          <c:val>
            <c:numRef>
              <c:f>Sheet2!$B$2:$AD$2</c:f>
              <c:numCache>
                <c:formatCode>General</c:formatCode>
                <c:ptCount val="29"/>
                <c:pt idx="0">
                  <c:v>6863</c:v>
                </c:pt>
                <c:pt idx="1">
                  <c:v>6793</c:v>
                </c:pt>
                <c:pt idx="2">
                  <c:v>8268</c:v>
                </c:pt>
                <c:pt idx="3">
                  <c:v>7667</c:v>
                </c:pt>
                <c:pt idx="4">
                  <c:v>6853</c:v>
                </c:pt>
                <c:pt idx="5">
                  <c:v>6187</c:v>
                </c:pt>
                <c:pt idx="6">
                  <c:v>6280</c:v>
                </c:pt>
                <c:pt idx="7">
                  <c:v>6130</c:v>
                </c:pt>
                <c:pt idx="8">
                  <c:v>5901</c:v>
                </c:pt>
                <c:pt idx="9">
                  <c:v>7347</c:v>
                </c:pt>
                <c:pt idx="10">
                  <c:v>6885</c:v>
                </c:pt>
                <c:pt idx="11">
                  <c:v>7014</c:v>
                </c:pt>
                <c:pt idx="12">
                  <c:v>9111</c:v>
                </c:pt>
                <c:pt idx="13">
                  <c:v>7045</c:v>
                </c:pt>
                <c:pt idx="14">
                  <c:v>6942</c:v>
                </c:pt>
                <c:pt idx="15">
                  <c:v>6986</c:v>
                </c:pt>
                <c:pt idx="16">
                  <c:v>7210</c:v>
                </c:pt>
                <c:pt idx="17">
                  <c:v>7355</c:v>
                </c:pt>
                <c:pt idx="18">
                  <c:v>7300</c:v>
                </c:pt>
                <c:pt idx="19">
                  <c:v>7995</c:v>
                </c:pt>
                <c:pt idx="20">
                  <c:v>8837</c:v>
                </c:pt>
                <c:pt idx="21">
                  <c:v>7151</c:v>
                </c:pt>
                <c:pt idx="22">
                  <c:v>8111</c:v>
                </c:pt>
                <c:pt idx="23">
                  <c:v>8002</c:v>
                </c:pt>
                <c:pt idx="24">
                  <c:v>7057</c:v>
                </c:pt>
                <c:pt idx="25">
                  <c:v>7154</c:v>
                </c:pt>
                <c:pt idx="26">
                  <c:v>8453</c:v>
                </c:pt>
                <c:pt idx="27">
                  <c:v>7883</c:v>
                </c:pt>
                <c:pt idx="28">
                  <c:v>5702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D-4E02-BB34-325B1063EBD1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test2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Sheet2!$B$1:$AD$1</c:f>
              <c:strCache>
                <c:ptCount val="29"/>
                <c:pt idx="0">
                  <c:v>2022-08-22 (week)</c:v>
                </c:pt>
                <c:pt idx="1">
                  <c:v>2022-08-29 (week)</c:v>
                </c:pt>
                <c:pt idx="2">
                  <c:v>2022-09-05 (week)</c:v>
                </c:pt>
                <c:pt idx="3">
                  <c:v>2022-09-12 (week)</c:v>
                </c:pt>
                <c:pt idx="4">
                  <c:v>2022-09-19 (week)</c:v>
                </c:pt>
                <c:pt idx="5">
                  <c:v>2022-09-26 (week)</c:v>
                </c:pt>
                <c:pt idx="6">
                  <c:v>2022-10-03 (week)</c:v>
                </c:pt>
                <c:pt idx="7">
                  <c:v>2022-10-10 (week)</c:v>
                </c:pt>
                <c:pt idx="8">
                  <c:v>2022-10-17 (week)</c:v>
                </c:pt>
                <c:pt idx="9">
                  <c:v>2022-10-24 (week)</c:v>
                </c:pt>
                <c:pt idx="10">
                  <c:v>2022-10-31 (week)</c:v>
                </c:pt>
                <c:pt idx="11">
                  <c:v>2022-11-07 (week)</c:v>
                </c:pt>
                <c:pt idx="12">
                  <c:v>2022-11-14 (week)</c:v>
                </c:pt>
                <c:pt idx="13">
                  <c:v>2022-11-21 (week)</c:v>
                </c:pt>
                <c:pt idx="14">
                  <c:v>2022-11-28 (week)</c:v>
                </c:pt>
                <c:pt idx="15">
                  <c:v>2022-12-05 (week)</c:v>
                </c:pt>
                <c:pt idx="16">
                  <c:v>2022-12-12 (week)</c:v>
                </c:pt>
                <c:pt idx="17">
                  <c:v>2022-12-19 (week)</c:v>
                </c:pt>
                <c:pt idx="18">
                  <c:v>2022-12-26 (week)</c:v>
                </c:pt>
                <c:pt idx="19">
                  <c:v>2023-01-02 (week)</c:v>
                </c:pt>
                <c:pt idx="20">
                  <c:v>2023-01-09 (week)</c:v>
                </c:pt>
                <c:pt idx="21">
                  <c:v>2023-01-16 (week)</c:v>
                </c:pt>
                <c:pt idx="22">
                  <c:v>2023-01-23 (week)</c:v>
                </c:pt>
                <c:pt idx="23">
                  <c:v>2023-01-30 (week)</c:v>
                </c:pt>
                <c:pt idx="24">
                  <c:v>2023-02-06 (week)</c:v>
                </c:pt>
                <c:pt idx="25">
                  <c:v>2023-02-13 (week)</c:v>
                </c:pt>
                <c:pt idx="26">
                  <c:v>2023-02-20 (week)</c:v>
                </c:pt>
                <c:pt idx="27">
                  <c:v>2023-02-27 (week)</c:v>
                </c:pt>
                <c:pt idx="28">
                  <c:v>2023-03-06 (week)</c:v>
                </c:pt>
              </c:strCache>
            </c:strRef>
          </c:cat>
          <c:val>
            <c:numRef>
              <c:f>Sheet2!$B$3:$AD$3</c:f>
              <c:numCache>
                <c:formatCode>General</c:formatCode>
                <c:ptCount val="29"/>
                <c:pt idx="0">
                  <c:v>2054</c:v>
                </c:pt>
                <c:pt idx="1">
                  <c:v>1304</c:v>
                </c:pt>
                <c:pt idx="2">
                  <c:v>1346</c:v>
                </c:pt>
                <c:pt idx="3">
                  <c:v>1952</c:v>
                </c:pt>
                <c:pt idx="4">
                  <c:v>1960</c:v>
                </c:pt>
                <c:pt idx="5">
                  <c:v>3306</c:v>
                </c:pt>
                <c:pt idx="6">
                  <c:v>4460</c:v>
                </c:pt>
                <c:pt idx="7">
                  <c:v>3552</c:v>
                </c:pt>
                <c:pt idx="8">
                  <c:v>1497</c:v>
                </c:pt>
                <c:pt idx="9">
                  <c:v>1740</c:v>
                </c:pt>
                <c:pt idx="10">
                  <c:v>1810</c:v>
                </c:pt>
                <c:pt idx="11">
                  <c:v>2974</c:v>
                </c:pt>
                <c:pt idx="12">
                  <c:v>4041</c:v>
                </c:pt>
                <c:pt idx="13">
                  <c:v>3464</c:v>
                </c:pt>
                <c:pt idx="14">
                  <c:v>4342</c:v>
                </c:pt>
                <c:pt idx="15">
                  <c:v>4481</c:v>
                </c:pt>
                <c:pt idx="16">
                  <c:v>5229</c:v>
                </c:pt>
                <c:pt idx="17">
                  <c:v>5324</c:v>
                </c:pt>
                <c:pt idx="18">
                  <c:v>3457</c:v>
                </c:pt>
                <c:pt idx="19">
                  <c:v>4472</c:v>
                </c:pt>
                <c:pt idx="20">
                  <c:v>1683</c:v>
                </c:pt>
                <c:pt idx="21">
                  <c:v>1823</c:v>
                </c:pt>
                <c:pt idx="22">
                  <c:v>1964</c:v>
                </c:pt>
                <c:pt idx="23">
                  <c:v>5342</c:v>
                </c:pt>
                <c:pt idx="24">
                  <c:v>5555</c:v>
                </c:pt>
                <c:pt idx="25">
                  <c:v>4222</c:v>
                </c:pt>
                <c:pt idx="26">
                  <c:v>5208</c:v>
                </c:pt>
                <c:pt idx="27">
                  <c:v>4233</c:v>
                </c:pt>
                <c:pt idx="28">
                  <c:v>1919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D-4E02-BB34-325B1063EBD1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메운디 관련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Sheet2!$B$1:$AD$1</c:f>
              <c:strCache>
                <c:ptCount val="29"/>
                <c:pt idx="0">
                  <c:v>2022-08-22 (week)</c:v>
                </c:pt>
                <c:pt idx="1">
                  <c:v>2022-08-29 (week)</c:v>
                </c:pt>
                <c:pt idx="2">
                  <c:v>2022-09-05 (week)</c:v>
                </c:pt>
                <c:pt idx="3">
                  <c:v>2022-09-12 (week)</c:v>
                </c:pt>
                <c:pt idx="4">
                  <c:v>2022-09-19 (week)</c:v>
                </c:pt>
                <c:pt idx="5">
                  <c:v>2022-09-26 (week)</c:v>
                </c:pt>
                <c:pt idx="6">
                  <c:v>2022-10-03 (week)</c:v>
                </c:pt>
                <c:pt idx="7">
                  <c:v>2022-10-10 (week)</c:v>
                </c:pt>
                <c:pt idx="8">
                  <c:v>2022-10-17 (week)</c:v>
                </c:pt>
                <c:pt idx="9">
                  <c:v>2022-10-24 (week)</c:v>
                </c:pt>
                <c:pt idx="10">
                  <c:v>2022-10-31 (week)</c:v>
                </c:pt>
                <c:pt idx="11">
                  <c:v>2022-11-07 (week)</c:v>
                </c:pt>
                <c:pt idx="12">
                  <c:v>2022-11-14 (week)</c:v>
                </c:pt>
                <c:pt idx="13">
                  <c:v>2022-11-21 (week)</c:v>
                </c:pt>
                <c:pt idx="14">
                  <c:v>2022-11-28 (week)</c:v>
                </c:pt>
                <c:pt idx="15">
                  <c:v>2022-12-05 (week)</c:v>
                </c:pt>
                <c:pt idx="16">
                  <c:v>2022-12-12 (week)</c:v>
                </c:pt>
                <c:pt idx="17">
                  <c:v>2022-12-19 (week)</c:v>
                </c:pt>
                <c:pt idx="18">
                  <c:v>2022-12-26 (week)</c:v>
                </c:pt>
                <c:pt idx="19">
                  <c:v>2023-01-02 (week)</c:v>
                </c:pt>
                <c:pt idx="20">
                  <c:v>2023-01-09 (week)</c:v>
                </c:pt>
                <c:pt idx="21">
                  <c:v>2023-01-16 (week)</c:v>
                </c:pt>
                <c:pt idx="22">
                  <c:v>2023-01-23 (week)</c:v>
                </c:pt>
                <c:pt idx="23">
                  <c:v>2023-01-30 (week)</c:v>
                </c:pt>
                <c:pt idx="24">
                  <c:v>2023-02-06 (week)</c:v>
                </c:pt>
                <c:pt idx="25">
                  <c:v>2023-02-13 (week)</c:v>
                </c:pt>
                <c:pt idx="26">
                  <c:v>2023-02-20 (week)</c:v>
                </c:pt>
                <c:pt idx="27">
                  <c:v>2023-02-27 (week)</c:v>
                </c:pt>
                <c:pt idx="28">
                  <c:v>2023-03-06 (week)</c:v>
                </c:pt>
              </c:strCache>
            </c:strRef>
          </c:cat>
          <c:val>
            <c:numRef>
              <c:f>Sheet2!$B$4:$AD$4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6762</c:v>
                </c:pt>
                <c:pt idx="7">
                  <c:v>7287</c:v>
                </c:pt>
                <c:pt idx="8">
                  <c:v>8741</c:v>
                </c:pt>
                <c:pt idx="9">
                  <c:v>4470</c:v>
                </c:pt>
                <c:pt idx="10">
                  <c:v>9850</c:v>
                </c:pt>
                <c:pt idx="11">
                  <c:v>12939</c:v>
                </c:pt>
                <c:pt idx="12">
                  <c:v>4619</c:v>
                </c:pt>
                <c:pt idx="13">
                  <c:v>1782</c:v>
                </c:pt>
                <c:pt idx="14">
                  <c:v>843</c:v>
                </c:pt>
                <c:pt idx="15">
                  <c:v>518</c:v>
                </c:pt>
                <c:pt idx="16">
                  <c:v>353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306</c:v>
                </c:pt>
                <c:pt idx="22">
                  <c:v>359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3D-4E02-BB34-325B1063EBD1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디펜스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Sheet2!$B$1:$AD$1</c:f>
              <c:strCache>
                <c:ptCount val="29"/>
                <c:pt idx="0">
                  <c:v>2022-08-22 (week)</c:v>
                </c:pt>
                <c:pt idx="1">
                  <c:v>2022-08-29 (week)</c:v>
                </c:pt>
                <c:pt idx="2">
                  <c:v>2022-09-05 (week)</c:v>
                </c:pt>
                <c:pt idx="3">
                  <c:v>2022-09-12 (week)</c:v>
                </c:pt>
                <c:pt idx="4">
                  <c:v>2022-09-19 (week)</c:v>
                </c:pt>
                <c:pt idx="5">
                  <c:v>2022-09-26 (week)</c:v>
                </c:pt>
                <c:pt idx="6">
                  <c:v>2022-10-03 (week)</c:v>
                </c:pt>
                <c:pt idx="7">
                  <c:v>2022-10-10 (week)</c:v>
                </c:pt>
                <c:pt idx="8">
                  <c:v>2022-10-17 (week)</c:v>
                </c:pt>
                <c:pt idx="9">
                  <c:v>2022-10-24 (week)</c:v>
                </c:pt>
                <c:pt idx="10">
                  <c:v>2022-10-31 (week)</c:v>
                </c:pt>
                <c:pt idx="11">
                  <c:v>2022-11-07 (week)</c:v>
                </c:pt>
                <c:pt idx="12">
                  <c:v>2022-11-14 (week)</c:v>
                </c:pt>
                <c:pt idx="13">
                  <c:v>2022-11-21 (week)</c:v>
                </c:pt>
                <c:pt idx="14">
                  <c:v>2022-11-28 (week)</c:v>
                </c:pt>
                <c:pt idx="15">
                  <c:v>2022-12-05 (week)</c:v>
                </c:pt>
                <c:pt idx="16">
                  <c:v>2022-12-12 (week)</c:v>
                </c:pt>
                <c:pt idx="17">
                  <c:v>2022-12-19 (week)</c:v>
                </c:pt>
                <c:pt idx="18">
                  <c:v>2022-12-26 (week)</c:v>
                </c:pt>
                <c:pt idx="19">
                  <c:v>2023-01-02 (week)</c:v>
                </c:pt>
                <c:pt idx="20">
                  <c:v>2023-01-09 (week)</c:v>
                </c:pt>
                <c:pt idx="21">
                  <c:v>2023-01-16 (week)</c:v>
                </c:pt>
                <c:pt idx="22">
                  <c:v>2023-01-23 (week)</c:v>
                </c:pt>
                <c:pt idx="23">
                  <c:v>2023-01-30 (week)</c:v>
                </c:pt>
                <c:pt idx="24">
                  <c:v>2023-02-06 (week)</c:v>
                </c:pt>
                <c:pt idx="25">
                  <c:v>2023-02-13 (week)</c:v>
                </c:pt>
                <c:pt idx="26">
                  <c:v>2023-02-20 (week)</c:v>
                </c:pt>
                <c:pt idx="27">
                  <c:v>2023-02-27 (week)</c:v>
                </c:pt>
                <c:pt idx="28">
                  <c:v>2023-03-06 (week)</c:v>
                </c:pt>
              </c:strCache>
            </c:strRef>
          </c:cat>
          <c:val>
            <c:numRef>
              <c:f>Sheet2!$B$5:$AD$5</c:f>
              <c:numCache>
                <c:formatCode>General</c:formatCode>
                <c:ptCount val="29"/>
                <c:pt idx="0">
                  <c:v>339</c:v>
                </c:pt>
                <c:pt idx="1">
                  <c:v>310</c:v>
                </c:pt>
                <c:pt idx="2">
                  <c:v>445</c:v>
                </c:pt>
                <c:pt idx="3">
                  <c:v>268</c:v>
                </c:pt>
                <c:pt idx="4">
                  <c:v>318</c:v>
                </c:pt>
                <c:pt idx="5">
                  <c:v>1005</c:v>
                </c:pt>
                <c:pt idx="6">
                  <c:v>2557</c:v>
                </c:pt>
                <c:pt idx="7">
                  <c:v>2855</c:v>
                </c:pt>
                <c:pt idx="8">
                  <c:v>2530</c:v>
                </c:pt>
                <c:pt idx="9">
                  <c:v>1031</c:v>
                </c:pt>
                <c:pt idx="10">
                  <c:v>1065</c:v>
                </c:pt>
                <c:pt idx="11">
                  <c:v>514</c:v>
                </c:pt>
                <c:pt idx="12">
                  <c:v>612</c:v>
                </c:pt>
                <c:pt idx="13">
                  <c:v>639</c:v>
                </c:pt>
                <c:pt idx="14">
                  <c:v>439</c:v>
                </c:pt>
                <c:pt idx="15">
                  <c:v>1411</c:v>
                </c:pt>
                <c:pt idx="16">
                  <c:v>1511</c:v>
                </c:pt>
                <c:pt idx="17">
                  <c:v>2245</c:v>
                </c:pt>
                <c:pt idx="18">
                  <c:v>1771</c:v>
                </c:pt>
                <c:pt idx="19">
                  <c:v>1012</c:v>
                </c:pt>
                <c:pt idx="20">
                  <c:v>555</c:v>
                </c:pt>
                <c:pt idx="21">
                  <c:v>353</c:v>
                </c:pt>
                <c:pt idx="22">
                  <c:v>0</c:v>
                </c:pt>
                <c:pt idx="23">
                  <c:v>0</c:v>
                </c:pt>
                <c:pt idx="24">
                  <c:v>354</c:v>
                </c:pt>
                <c:pt idx="25">
                  <c:v>344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3D-4E02-BB34-325B1063EBD1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캐키보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Sheet2!$B$1:$AD$1</c:f>
              <c:strCache>
                <c:ptCount val="29"/>
                <c:pt idx="0">
                  <c:v>2022-08-22 (week)</c:v>
                </c:pt>
                <c:pt idx="1">
                  <c:v>2022-08-29 (week)</c:v>
                </c:pt>
                <c:pt idx="2">
                  <c:v>2022-09-05 (week)</c:v>
                </c:pt>
                <c:pt idx="3">
                  <c:v>2022-09-12 (week)</c:v>
                </c:pt>
                <c:pt idx="4">
                  <c:v>2022-09-19 (week)</c:v>
                </c:pt>
                <c:pt idx="5">
                  <c:v>2022-09-26 (week)</c:v>
                </c:pt>
                <c:pt idx="6">
                  <c:v>2022-10-03 (week)</c:v>
                </c:pt>
                <c:pt idx="7">
                  <c:v>2022-10-10 (week)</c:v>
                </c:pt>
                <c:pt idx="8">
                  <c:v>2022-10-17 (week)</c:v>
                </c:pt>
                <c:pt idx="9">
                  <c:v>2022-10-24 (week)</c:v>
                </c:pt>
                <c:pt idx="10">
                  <c:v>2022-10-31 (week)</c:v>
                </c:pt>
                <c:pt idx="11">
                  <c:v>2022-11-07 (week)</c:v>
                </c:pt>
                <c:pt idx="12">
                  <c:v>2022-11-14 (week)</c:v>
                </c:pt>
                <c:pt idx="13">
                  <c:v>2022-11-21 (week)</c:v>
                </c:pt>
                <c:pt idx="14">
                  <c:v>2022-11-28 (week)</c:v>
                </c:pt>
                <c:pt idx="15">
                  <c:v>2022-12-05 (week)</c:v>
                </c:pt>
                <c:pt idx="16">
                  <c:v>2022-12-12 (week)</c:v>
                </c:pt>
                <c:pt idx="17">
                  <c:v>2022-12-19 (week)</c:v>
                </c:pt>
                <c:pt idx="18">
                  <c:v>2022-12-26 (week)</c:v>
                </c:pt>
                <c:pt idx="19">
                  <c:v>2023-01-02 (week)</c:v>
                </c:pt>
                <c:pt idx="20">
                  <c:v>2023-01-09 (week)</c:v>
                </c:pt>
                <c:pt idx="21">
                  <c:v>2023-01-16 (week)</c:v>
                </c:pt>
                <c:pt idx="22">
                  <c:v>2023-01-23 (week)</c:v>
                </c:pt>
                <c:pt idx="23">
                  <c:v>2023-01-30 (week)</c:v>
                </c:pt>
                <c:pt idx="24">
                  <c:v>2023-02-06 (week)</c:v>
                </c:pt>
                <c:pt idx="25">
                  <c:v>2023-02-13 (week)</c:v>
                </c:pt>
                <c:pt idx="26">
                  <c:v>2023-02-20 (week)</c:v>
                </c:pt>
                <c:pt idx="27">
                  <c:v>2023-02-27 (week)</c:v>
                </c:pt>
                <c:pt idx="28">
                  <c:v>2023-03-06 (week)</c:v>
                </c:pt>
              </c:strCache>
            </c:strRef>
          </c:cat>
          <c:val>
            <c:numRef>
              <c:f>Sheet2!$B$6:$AD$6</c:f>
              <c:numCache>
                <c:formatCode>General</c:formatCode>
                <c:ptCount val="29"/>
                <c:pt idx="0">
                  <c:v>280</c:v>
                </c:pt>
                <c:pt idx="1">
                  <c:v>244</c:v>
                </c:pt>
                <c:pt idx="2">
                  <c:v>268</c:v>
                </c:pt>
                <c:pt idx="3">
                  <c:v>344</c:v>
                </c:pt>
                <c:pt idx="4">
                  <c:v>228</c:v>
                </c:pt>
                <c:pt idx="5">
                  <c:v>308</c:v>
                </c:pt>
                <c:pt idx="6">
                  <c:v>0</c:v>
                </c:pt>
                <c:pt idx="7">
                  <c:v>0</c:v>
                </c:pt>
                <c:pt idx="8">
                  <c:v>505</c:v>
                </c:pt>
                <c:pt idx="9">
                  <c:v>349</c:v>
                </c:pt>
                <c:pt idx="10">
                  <c:v>361</c:v>
                </c:pt>
                <c:pt idx="11">
                  <c:v>976</c:v>
                </c:pt>
                <c:pt idx="12">
                  <c:v>1374</c:v>
                </c:pt>
                <c:pt idx="13">
                  <c:v>1928</c:v>
                </c:pt>
                <c:pt idx="14">
                  <c:v>1821</c:v>
                </c:pt>
                <c:pt idx="15">
                  <c:v>1759</c:v>
                </c:pt>
                <c:pt idx="16">
                  <c:v>1797</c:v>
                </c:pt>
                <c:pt idx="17">
                  <c:v>1209</c:v>
                </c:pt>
                <c:pt idx="18">
                  <c:v>1001</c:v>
                </c:pt>
                <c:pt idx="19">
                  <c:v>938</c:v>
                </c:pt>
                <c:pt idx="20">
                  <c:v>1040</c:v>
                </c:pt>
                <c:pt idx="21">
                  <c:v>766</c:v>
                </c:pt>
                <c:pt idx="22">
                  <c:v>564</c:v>
                </c:pt>
                <c:pt idx="23">
                  <c:v>747</c:v>
                </c:pt>
                <c:pt idx="24">
                  <c:v>583</c:v>
                </c:pt>
                <c:pt idx="25">
                  <c:v>367</c:v>
                </c:pt>
                <c:pt idx="26">
                  <c:v>398</c:v>
                </c:pt>
                <c:pt idx="27">
                  <c:v>379</c:v>
                </c:pt>
                <c:pt idx="28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3D-4E02-BB34-325B1063EBD1}"/>
            </c:ext>
          </c:extLst>
        </c:ser>
        <c:ser>
          <c:idx val="5"/>
          <c:order val="5"/>
          <c:tx>
            <c:strRef>
              <c:f>Sheet2!$A$7</c:f>
              <c:strCache>
                <c:ptCount val="1"/>
                <c:pt idx="0">
                  <c:v>컴까기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Sheet2!$B$1:$AD$1</c:f>
              <c:strCache>
                <c:ptCount val="29"/>
                <c:pt idx="0">
                  <c:v>2022-08-22 (week)</c:v>
                </c:pt>
                <c:pt idx="1">
                  <c:v>2022-08-29 (week)</c:v>
                </c:pt>
                <c:pt idx="2">
                  <c:v>2022-09-05 (week)</c:v>
                </c:pt>
                <c:pt idx="3">
                  <c:v>2022-09-12 (week)</c:v>
                </c:pt>
                <c:pt idx="4">
                  <c:v>2022-09-19 (week)</c:v>
                </c:pt>
                <c:pt idx="5">
                  <c:v>2022-09-26 (week)</c:v>
                </c:pt>
                <c:pt idx="6">
                  <c:v>2022-10-03 (week)</c:v>
                </c:pt>
                <c:pt idx="7">
                  <c:v>2022-10-10 (week)</c:v>
                </c:pt>
                <c:pt idx="8">
                  <c:v>2022-10-17 (week)</c:v>
                </c:pt>
                <c:pt idx="9">
                  <c:v>2022-10-24 (week)</c:v>
                </c:pt>
                <c:pt idx="10">
                  <c:v>2022-10-31 (week)</c:v>
                </c:pt>
                <c:pt idx="11">
                  <c:v>2022-11-07 (week)</c:v>
                </c:pt>
                <c:pt idx="12">
                  <c:v>2022-11-14 (week)</c:v>
                </c:pt>
                <c:pt idx="13">
                  <c:v>2022-11-21 (week)</c:v>
                </c:pt>
                <c:pt idx="14">
                  <c:v>2022-11-28 (week)</c:v>
                </c:pt>
                <c:pt idx="15">
                  <c:v>2022-12-05 (week)</c:v>
                </c:pt>
                <c:pt idx="16">
                  <c:v>2022-12-12 (week)</c:v>
                </c:pt>
                <c:pt idx="17">
                  <c:v>2022-12-19 (week)</c:v>
                </c:pt>
                <c:pt idx="18">
                  <c:v>2022-12-26 (week)</c:v>
                </c:pt>
                <c:pt idx="19">
                  <c:v>2023-01-02 (week)</c:v>
                </c:pt>
                <c:pt idx="20">
                  <c:v>2023-01-09 (week)</c:v>
                </c:pt>
                <c:pt idx="21">
                  <c:v>2023-01-16 (week)</c:v>
                </c:pt>
                <c:pt idx="22">
                  <c:v>2023-01-23 (week)</c:v>
                </c:pt>
                <c:pt idx="23">
                  <c:v>2023-01-30 (week)</c:v>
                </c:pt>
                <c:pt idx="24">
                  <c:v>2023-02-06 (week)</c:v>
                </c:pt>
                <c:pt idx="25">
                  <c:v>2023-02-13 (week)</c:v>
                </c:pt>
                <c:pt idx="26">
                  <c:v>2023-02-20 (week)</c:v>
                </c:pt>
                <c:pt idx="27">
                  <c:v>2023-02-27 (week)</c:v>
                </c:pt>
                <c:pt idx="28">
                  <c:v>2023-03-06 (week)</c:v>
                </c:pt>
              </c:strCache>
            </c:strRef>
          </c:cat>
          <c:val>
            <c:numRef>
              <c:f>Sheet2!$B$7:$AD$7</c:f>
              <c:numCache>
                <c:formatCode>General</c:formatCode>
                <c:ptCount val="29"/>
                <c:pt idx="0">
                  <c:v>517</c:v>
                </c:pt>
                <c:pt idx="1">
                  <c:v>783</c:v>
                </c:pt>
                <c:pt idx="2">
                  <c:v>852</c:v>
                </c:pt>
                <c:pt idx="3">
                  <c:v>622</c:v>
                </c:pt>
                <c:pt idx="4">
                  <c:v>529</c:v>
                </c:pt>
                <c:pt idx="5">
                  <c:v>735</c:v>
                </c:pt>
                <c:pt idx="6">
                  <c:v>417</c:v>
                </c:pt>
                <c:pt idx="7">
                  <c:v>426</c:v>
                </c:pt>
                <c:pt idx="8">
                  <c:v>493</c:v>
                </c:pt>
                <c:pt idx="9">
                  <c:v>405</c:v>
                </c:pt>
                <c:pt idx="10">
                  <c:v>446</c:v>
                </c:pt>
                <c:pt idx="11">
                  <c:v>545</c:v>
                </c:pt>
                <c:pt idx="12">
                  <c:v>503</c:v>
                </c:pt>
                <c:pt idx="13">
                  <c:v>607</c:v>
                </c:pt>
                <c:pt idx="14">
                  <c:v>634</c:v>
                </c:pt>
                <c:pt idx="15">
                  <c:v>575</c:v>
                </c:pt>
                <c:pt idx="16">
                  <c:v>452</c:v>
                </c:pt>
                <c:pt idx="17">
                  <c:v>563</c:v>
                </c:pt>
                <c:pt idx="18">
                  <c:v>508</c:v>
                </c:pt>
                <c:pt idx="19">
                  <c:v>378</c:v>
                </c:pt>
                <c:pt idx="20">
                  <c:v>410</c:v>
                </c:pt>
                <c:pt idx="21">
                  <c:v>582</c:v>
                </c:pt>
                <c:pt idx="22">
                  <c:v>560</c:v>
                </c:pt>
                <c:pt idx="23">
                  <c:v>619</c:v>
                </c:pt>
                <c:pt idx="24">
                  <c:v>631</c:v>
                </c:pt>
                <c:pt idx="25">
                  <c:v>923</c:v>
                </c:pt>
                <c:pt idx="26">
                  <c:v>688</c:v>
                </c:pt>
                <c:pt idx="27">
                  <c:v>496</c:v>
                </c:pt>
                <c:pt idx="28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3D-4E02-BB34-325B1063EBD1}"/>
            </c:ext>
          </c:extLst>
        </c:ser>
        <c:ser>
          <c:idx val="6"/>
          <c:order val="6"/>
          <c:tx>
            <c:strRef>
              <c:f>Sheet2!$A$8</c:f>
              <c:strCache>
                <c:ptCount val="1"/>
                <c:pt idx="0">
                  <c:v>게임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Sheet2!$B$1:$AD$1</c:f>
              <c:strCache>
                <c:ptCount val="29"/>
                <c:pt idx="0">
                  <c:v>2022-08-22 (week)</c:v>
                </c:pt>
                <c:pt idx="1">
                  <c:v>2022-08-29 (week)</c:v>
                </c:pt>
                <c:pt idx="2">
                  <c:v>2022-09-05 (week)</c:v>
                </c:pt>
                <c:pt idx="3">
                  <c:v>2022-09-12 (week)</c:v>
                </c:pt>
                <c:pt idx="4">
                  <c:v>2022-09-19 (week)</c:v>
                </c:pt>
                <c:pt idx="5">
                  <c:v>2022-09-26 (week)</c:v>
                </c:pt>
                <c:pt idx="6">
                  <c:v>2022-10-03 (week)</c:v>
                </c:pt>
                <c:pt idx="7">
                  <c:v>2022-10-10 (week)</c:v>
                </c:pt>
                <c:pt idx="8">
                  <c:v>2022-10-17 (week)</c:v>
                </c:pt>
                <c:pt idx="9">
                  <c:v>2022-10-24 (week)</c:v>
                </c:pt>
                <c:pt idx="10">
                  <c:v>2022-10-31 (week)</c:v>
                </c:pt>
                <c:pt idx="11">
                  <c:v>2022-11-07 (week)</c:v>
                </c:pt>
                <c:pt idx="12">
                  <c:v>2022-11-14 (week)</c:v>
                </c:pt>
                <c:pt idx="13">
                  <c:v>2022-11-21 (week)</c:v>
                </c:pt>
                <c:pt idx="14">
                  <c:v>2022-11-28 (week)</c:v>
                </c:pt>
                <c:pt idx="15">
                  <c:v>2022-12-05 (week)</c:v>
                </c:pt>
                <c:pt idx="16">
                  <c:v>2022-12-12 (week)</c:v>
                </c:pt>
                <c:pt idx="17">
                  <c:v>2022-12-19 (week)</c:v>
                </c:pt>
                <c:pt idx="18">
                  <c:v>2022-12-26 (week)</c:v>
                </c:pt>
                <c:pt idx="19">
                  <c:v>2023-01-02 (week)</c:v>
                </c:pt>
                <c:pt idx="20">
                  <c:v>2023-01-09 (week)</c:v>
                </c:pt>
                <c:pt idx="21">
                  <c:v>2023-01-16 (week)</c:v>
                </c:pt>
                <c:pt idx="22">
                  <c:v>2023-01-23 (week)</c:v>
                </c:pt>
                <c:pt idx="23">
                  <c:v>2023-01-30 (week)</c:v>
                </c:pt>
                <c:pt idx="24">
                  <c:v>2023-02-06 (week)</c:v>
                </c:pt>
                <c:pt idx="25">
                  <c:v>2023-02-13 (week)</c:v>
                </c:pt>
                <c:pt idx="26">
                  <c:v>2023-02-20 (week)</c:v>
                </c:pt>
                <c:pt idx="27">
                  <c:v>2023-02-27 (week)</c:v>
                </c:pt>
                <c:pt idx="28">
                  <c:v>2023-03-06 (week)</c:v>
                </c:pt>
              </c:strCache>
            </c:strRef>
          </c:cat>
          <c:val>
            <c:numRef>
              <c:f>Sheet2!$B$8:$AD$8</c:f>
              <c:numCache>
                <c:formatCode>General</c:formatCode>
                <c:ptCount val="29"/>
                <c:pt idx="0">
                  <c:v>390</c:v>
                </c:pt>
                <c:pt idx="1">
                  <c:v>320</c:v>
                </c:pt>
                <c:pt idx="2">
                  <c:v>485</c:v>
                </c:pt>
                <c:pt idx="3">
                  <c:v>495</c:v>
                </c:pt>
                <c:pt idx="4">
                  <c:v>504</c:v>
                </c:pt>
                <c:pt idx="5">
                  <c:v>312</c:v>
                </c:pt>
                <c:pt idx="6">
                  <c:v>497</c:v>
                </c:pt>
                <c:pt idx="7">
                  <c:v>385</c:v>
                </c:pt>
                <c:pt idx="8">
                  <c:v>515</c:v>
                </c:pt>
                <c:pt idx="9">
                  <c:v>691</c:v>
                </c:pt>
                <c:pt idx="10">
                  <c:v>645</c:v>
                </c:pt>
                <c:pt idx="11">
                  <c:v>655</c:v>
                </c:pt>
                <c:pt idx="12">
                  <c:v>746</c:v>
                </c:pt>
                <c:pt idx="13">
                  <c:v>672</c:v>
                </c:pt>
                <c:pt idx="14">
                  <c:v>470</c:v>
                </c:pt>
                <c:pt idx="15">
                  <c:v>450</c:v>
                </c:pt>
                <c:pt idx="16">
                  <c:v>442</c:v>
                </c:pt>
                <c:pt idx="17">
                  <c:v>611</c:v>
                </c:pt>
                <c:pt idx="18">
                  <c:v>603</c:v>
                </c:pt>
                <c:pt idx="19">
                  <c:v>554</c:v>
                </c:pt>
                <c:pt idx="20">
                  <c:v>642</c:v>
                </c:pt>
                <c:pt idx="21">
                  <c:v>435</c:v>
                </c:pt>
                <c:pt idx="22">
                  <c:v>600</c:v>
                </c:pt>
                <c:pt idx="23">
                  <c:v>535</c:v>
                </c:pt>
                <c:pt idx="24">
                  <c:v>581</c:v>
                </c:pt>
                <c:pt idx="25">
                  <c:v>525</c:v>
                </c:pt>
                <c:pt idx="26">
                  <c:v>432</c:v>
                </c:pt>
                <c:pt idx="27">
                  <c:v>443</c:v>
                </c:pt>
                <c:pt idx="28">
                  <c:v>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3D-4E02-BB34-325B1063EBD1}"/>
            </c:ext>
          </c:extLst>
        </c:ser>
        <c:ser>
          <c:idx val="7"/>
          <c:order val="7"/>
          <c:tx>
            <c:strRef>
              <c:f>Sheet2!$A$9</c:f>
              <c:strCache>
                <c:ptCount val="1"/>
                <c:pt idx="0">
                  <c:v>메이플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Sheet2!$B$1:$AD$1</c:f>
              <c:strCache>
                <c:ptCount val="29"/>
                <c:pt idx="0">
                  <c:v>2022-08-22 (week)</c:v>
                </c:pt>
                <c:pt idx="1">
                  <c:v>2022-08-29 (week)</c:v>
                </c:pt>
                <c:pt idx="2">
                  <c:v>2022-09-05 (week)</c:v>
                </c:pt>
                <c:pt idx="3">
                  <c:v>2022-09-12 (week)</c:v>
                </c:pt>
                <c:pt idx="4">
                  <c:v>2022-09-19 (week)</c:v>
                </c:pt>
                <c:pt idx="5">
                  <c:v>2022-09-26 (week)</c:v>
                </c:pt>
                <c:pt idx="6">
                  <c:v>2022-10-03 (week)</c:v>
                </c:pt>
                <c:pt idx="7">
                  <c:v>2022-10-10 (week)</c:v>
                </c:pt>
                <c:pt idx="8">
                  <c:v>2022-10-17 (week)</c:v>
                </c:pt>
                <c:pt idx="9">
                  <c:v>2022-10-24 (week)</c:v>
                </c:pt>
                <c:pt idx="10">
                  <c:v>2022-10-31 (week)</c:v>
                </c:pt>
                <c:pt idx="11">
                  <c:v>2022-11-07 (week)</c:v>
                </c:pt>
                <c:pt idx="12">
                  <c:v>2022-11-14 (week)</c:v>
                </c:pt>
                <c:pt idx="13">
                  <c:v>2022-11-21 (week)</c:v>
                </c:pt>
                <c:pt idx="14">
                  <c:v>2022-11-28 (week)</c:v>
                </c:pt>
                <c:pt idx="15">
                  <c:v>2022-12-05 (week)</c:v>
                </c:pt>
                <c:pt idx="16">
                  <c:v>2022-12-12 (week)</c:v>
                </c:pt>
                <c:pt idx="17">
                  <c:v>2022-12-19 (week)</c:v>
                </c:pt>
                <c:pt idx="18">
                  <c:v>2022-12-26 (week)</c:v>
                </c:pt>
                <c:pt idx="19">
                  <c:v>2023-01-02 (week)</c:v>
                </c:pt>
                <c:pt idx="20">
                  <c:v>2023-01-09 (week)</c:v>
                </c:pt>
                <c:pt idx="21">
                  <c:v>2023-01-16 (week)</c:v>
                </c:pt>
                <c:pt idx="22">
                  <c:v>2023-01-23 (week)</c:v>
                </c:pt>
                <c:pt idx="23">
                  <c:v>2023-01-30 (week)</c:v>
                </c:pt>
                <c:pt idx="24">
                  <c:v>2023-02-06 (week)</c:v>
                </c:pt>
                <c:pt idx="25">
                  <c:v>2023-02-13 (week)</c:v>
                </c:pt>
                <c:pt idx="26">
                  <c:v>2023-02-20 (week)</c:v>
                </c:pt>
                <c:pt idx="27">
                  <c:v>2023-02-27 (week)</c:v>
                </c:pt>
                <c:pt idx="28">
                  <c:v>2023-03-06 (week)</c:v>
                </c:pt>
              </c:strCache>
            </c:strRef>
          </c:cat>
          <c:val>
            <c:numRef>
              <c:f>Sheet2!$B$9:$AD$9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618</c:v>
                </c:pt>
                <c:pt idx="6">
                  <c:v>3268</c:v>
                </c:pt>
                <c:pt idx="7">
                  <c:v>1887</c:v>
                </c:pt>
                <c:pt idx="8">
                  <c:v>1996</c:v>
                </c:pt>
                <c:pt idx="9">
                  <c:v>762</c:v>
                </c:pt>
                <c:pt idx="10">
                  <c:v>847</c:v>
                </c:pt>
                <c:pt idx="11">
                  <c:v>769</c:v>
                </c:pt>
                <c:pt idx="12">
                  <c:v>590</c:v>
                </c:pt>
                <c:pt idx="13">
                  <c:v>513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3D-4E02-BB34-325B1063EBD1}"/>
            </c:ext>
          </c:extLst>
        </c:ser>
        <c:ser>
          <c:idx val="8"/>
          <c:order val="8"/>
          <c:tx>
            <c:strRef>
              <c:f>Sheet2!$A$10</c:f>
              <c:strCache>
                <c:ptCount val="1"/>
                <c:pt idx="0">
                  <c:v>리니지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Sheet2!$B$1:$AD$1</c:f>
              <c:strCache>
                <c:ptCount val="29"/>
                <c:pt idx="0">
                  <c:v>2022-08-22 (week)</c:v>
                </c:pt>
                <c:pt idx="1">
                  <c:v>2022-08-29 (week)</c:v>
                </c:pt>
                <c:pt idx="2">
                  <c:v>2022-09-05 (week)</c:v>
                </c:pt>
                <c:pt idx="3">
                  <c:v>2022-09-12 (week)</c:v>
                </c:pt>
                <c:pt idx="4">
                  <c:v>2022-09-19 (week)</c:v>
                </c:pt>
                <c:pt idx="5">
                  <c:v>2022-09-26 (week)</c:v>
                </c:pt>
                <c:pt idx="6">
                  <c:v>2022-10-03 (week)</c:v>
                </c:pt>
                <c:pt idx="7">
                  <c:v>2022-10-10 (week)</c:v>
                </c:pt>
                <c:pt idx="8">
                  <c:v>2022-10-17 (week)</c:v>
                </c:pt>
                <c:pt idx="9">
                  <c:v>2022-10-24 (week)</c:v>
                </c:pt>
                <c:pt idx="10">
                  <c:v>2022-10-31 (week)</c:v>
                </c:pt>
                <c:pt idx="11">
                  <c:v>2022-11-07 (week)</c:v>
                </c:pt>
                <c:pt idx="12">
                  <c:v>2022-11-14 (week)</c:v>
                </c:pt>
                <c:pt idx="13">
                  <c:v>2022-11-21 (week)</c:v>
                </c:pt>
                <c:pt idx="14">
                  <c:v>2022-11-28 (week)</c:v>
                </c:pt>
                <c:pt idx="15">
                  <c:v>2022-12-05 (week)</c:v>
                </c:pt>
                <c:pt idx="16">
                  <c:v>2022-12-12 (week)</c:v>
                </c:pt>
                <c:pt idx="17">
                  <c:v>2022-12-19 (week)</c:v>
                </c:pt>
                <c:pt idx="18">
                  <c:v>2022-12-26 (week)</c:v>
                </c:pt>
                <c:pt idx="19">
                  <c:v>2023-01-02 (week)</c:v>
                </c:pt>
                <c:pt idx="20">
                  <c:v>2023-01-09 (week)</c:v>
                </c:pt>
                <c:pt idx="21">
                  <c:v>2023-01-16 (week)</c:v>
                </c:pt>
                <c:pt idx="22">
                  <c:v>2023-01-23 (week)</c:v>
                </c:pt>
                <c:pt idx="23">
                  <c:v>2023-01-30 (week)</c:v>
                </c:pt>
                <c:pt idx="24">
                  <c:v>2023-02-06 (week)</c:v>
                </c:pt>
                <c:pt idx="25">
                  <c:v>2023-02-13 (week)</c:v>
                </c:pt>
                <c:pt idx="26">
                  <c:v>2023-02-20 (week)</c:v>
                </c:pt>
                <c:pt idx="27">
                  <c:v>2023-02-27 (week)</c:v>
                </c:pt>
                <c:pt idx="28">
                  <c:v>2023-03-06 (week)</c:v>
                </c:pt>
              </c:strCache>
            </c:strRef>
          </c:cat>
          <c:val>
            <c:numRef>
              <c:f>Sheet2!$B$10:$AD$10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3131</c:v>
                </c:pt>
                <c:pt idx="26">
                  <c:v>4140</c:v>
                </c:pt>
                <c:pt idx="27">
                  <c:v>2306</c:v>
                </c:pt>
                <c:pt idx="28">
                  <c:v>1342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3D-4E02-BB34-325B1063EBD1}"/>
            </c:ext>
          </c:extLst>
        </c:ser>
        <c:ser>
          <c:idx val="9"/>
          <c:order val="9"/>
          <c:tx>
            <c:strRef>
              <c:f>Sheet2!$A$11</c:f>
              <c:strCache>
                <c:ptCount val="1"/>
                <c:pt idx="0">
                  <c:v>dps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Sheet2!$B$1:$AD$1</c:f>
              <c:strCache>
                <c:ptCount val="29"/>
                <c:pt idx="0">
                  <c:v>2022-08-22 (week)</c:v>
                </c:pt>
                <c:pt idx="1">
                  <c:v>2022-08-29 (week)</c:v>
                </c:pt>
                <c:pt idx="2">
                  <c:v>2022-09-05 (week)</c:v>
                </c:pt>
                <c:pt idx="3">
                  <c:v>2022-09-12 (week)</c:v>
                </c:pt>
                <c:pt idx="4">
                  <c:v>2022-09-19 (week)</c:v>
                </c:pt>
                <c:pt idx="5">
                  <c:v>2022-09-26 (week)</c:v>
                </c:pt>
                <c:pt idx="6">
                  <c:v>2022-10-03 (week)</c:v>
                </c:pt>
                <c:pt idx="7">
                  <c:v>2022-10-10 (week)</c:v>
                </c:pt>
                <c:pt idx="8">
                  <c:v>2022-10-17 (week)</c:v>
                </c:pt>
                <c:pt idx="9">
                  <c:v>2022-10-24 (week)</c:v>
                </c:pt>
                <c:pt idx="10">
                  <c:v>2022-10-31 (week)</c:v>
                </c:pt>
                <c:pt idx="11">
                  <c:v>2022-11-07 (week)</c:v>
                </c:pt>
                <c:pt idx="12">
                  <c:v>2022-11-14 (week)</c:v>
                </c:pt>
                <c:pt idx="13">
                  <c:v>2022-11-21 (week)</c:v>
                </c:pt>
                <c:pt idx="14">
                  <c:v>2022-11-28 (week)</c:v>
                </c:pt>
                <c:pt idx="15">
                  <c:v>2022-12-05 (week)</c:v>
                </c:pt>
                <c:pt idx="16">
                  <c:v>2022-12-12 (week)</c:v>
                </c:pt>
                <c:pt idx="17">
                  <c:v>2022-12-19 (week)</c:v>
                </c:pt>
                <c:pt idx="18">
                  <c:v>2022-12-26 (week)</c:v>
                </c:pt>
                <c:pt idx="19">
                  <c:v>2023-01-02 (week)</c:v>
                </c:pt>
                <c:pt idx="20">
                  <c:v>2023-01-09 (week)</c:v>
                </c:pt>
                <c:pt idx="21">
                  <c:v>2023-01-16 (week)</c:v>
                </c:pt>
                <c:pt idx="22">
                  <c:v>2023-01-23 (week)</c:v>
                </c:pt>
                <c:pt idx="23">
                  <c:v>2023-01-30 (week)</c:v>
                </c:pt>
                <c:pt idx="24">
                  <c:v>2023-02-06 (week)</c:v>
                </c:pt>
                <c:pt idx="25">
                  <c:v>2023-02-13 (week)</c:v>
                </c:pt>
                <c:pt idx="26">
                  <c:v>2023-02-20 (week)</c:v>
                </c:pt>
                <c:pt idx="27">
                  <c:v>2023-02-27 (week)</c:v>
                </c:pt>
                <c:pt idx="28">
                  <c:v>2023-03-06 (week)</c:v>
                </c:pt>
              </c:strCache>
            </c:strRef>
          </c:cat>
          <c:val>
            <c:numRef>
              <c:f>Sheet2!$B$11:$AD$11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1178</c:v>
                </c:pt>
                <c:pt idx="20">
                  <c:v>2631</c:v>
                </c:pt>
                <c:pt idx="21">
                  <c:v>741</c:v>
                </c:pt>
                <c:pt idx="22">
                  <c:v>1797</c:v>
                </c:pt>
                <c:pt idx="23">
                  <c:v>1219</c:v>
                </c:pt>
                <c:pt idx="24">
                  <c:v>1285</c:v>
                </c:pt>
                <c:pt idx="25">
                  <c:v>644</c:v>
                </c:pt>
                <c:pt idx="26">
                  <c:v>443</c:v>
                </c:pt>
                <c:pt idx="27">
                  <c:v>362</c:v>
                </c:pt>
                <c:pt idx="28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3D-4E02-BB34-325B1063E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8931984"/>
        <c:axId val="1798021712"/>
      </c:barChart>
      <c:catAx>
        <c:axId val="184893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8021712"/>
        <c:crosses val="autoZero"/>
        <c:auto val="1"/>
        <c:lblAlgn val="ctr"/>
        <c:lblOffset val="100"/>
        <c:noMultiLvlLbl val="0"/>
      </c:catAx>
      <c:valAx>
        <c:axId val="179802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893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7.xml"/><Relationship Id="rId1" Type="http://schemas.openxmlformats.org/officeDocument/2006/relationships/chart" Target="../charts/chart56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3.xml"/><Relationship Id="rId1" Type="http://schemas.openxmlformats.org/officeDocument/2006/relationships/chart" Target="../charts/chart62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5.xml"/><Relationship Id="rId1" Type="http://schemas.openxmlformats.org/officeDocument/2006/relationships/chart" Target="../charts/chart64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7.xml"/><Relationship Id="rId1" Type="http://schemas.openxmlformats.org/officeDocument/2006/relationships/chart" Target="../charts/chart66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9.xml"/><Relationship Id="rId1" Type="http://schemas.openxmlformats.org/officeDocument/2006/relationships/chart" Target="../charts/chart68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1.xml"/><Relationship Id="rId1" Type="http://schemas.openxmlformats.org/officeDocument/2006/relationships/chart" Target="../charts/chart70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4.xml"/><Relationship Id="rId2" Type="http://schemas.openxmlformats.org/officeDocument/2006/relationships/chart" Target="../charts/chart73.xml"/><Relationship Id="rId1" Type="http://schemas.openxmlformats.org/officeDocument/2006/relationships/chart" Target="../charts/chart72.xml"/><Relationship Id="rId6" Type="http://schemas.openxmlformats.org/officeDocument/2006/relationships/chart" Target="../charts/chart77.xml"/><Relationship Id="rId5" Type="http://schemas.openxmlformats.org/officeDocument/2006/relationships/chart" Target="../charts/chart76.xml"/><Relationship Id="rId4" Type="http://schemas.openxmlformats.org/officeDocument/2006/relationships/chart" Target="../charts/chart75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28574</xdr:rowOff>
    </xdr:from>
    <xdr:to>
      <xdr:col>17</xdr:col>
      <xdr:colOff>552450</xdr:colOff>
      <xdr:row>44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A610243-1FF1-AD22-8AF1-DBEFB281B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28574</xdr:rowOff>
    </xdr:from>
    <xdr:to>
      <xdr:col>17</xdr:col>
      <xdr:colOff>552450</xdr:colOff>
      <xdr:row>44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197D628-AFB7-4BE2-B9C7-D54A98D45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45</xdr:row>
      <xdr:rowOff>17370</xdr:rowOff>
    </xdr:from>
    <xdr:to>
      <xdr:col>17</xdr:col>
      <xdr:colOff>552450</xdr:colOff>
      <xdr:row>89</xdr:row>
      <xdr:rowOff>112621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A5EB0D0-82A5-63B4-328D-8884B4979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28574</xdr:rowOff>
    </xdr:from>
    <xdr:to>
      <xdr:col>17</xdr:col>
      <xdr:colOff>552450</xdr:colOff>
      <xdr:row>44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D41EC1C-C44A-475C-80B3-2629A9E37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45</xdr:row>
      <xdr:rowOff>17370</xdr:rowOff>
    </xdr:from>
    <xdr:to>
      <xdr:col>17</xdr:col>
      <xdr:colOff>552450</xdr:colOff>
      <xdr:row>89</xdr:row>
      <xdr:rowOff>112621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D1EC436-8E2A-45BD-9F24-8875115B1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28574</xdr:rowOff>
    </xdr:from>
    <xdr:to>
      <xdr:col>17</xdr:col>
      <xdr:colOff>552450</xdr:colOff>
      <xdr:row>44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35F3E3D-8CF1-49D8-8A37-E714756BE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45</xdr:row>
      <xdr:rowOff>17370</xdr:rowOff>
    </xdr:from>
    <xdr:to>
      <xdr:col>17</xdr:col>
      <xdr:colOff>552450</xdr:colOff>
      <xdr:row>89</xdr:row>
      <xdr:rowOff>112621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27223AA-520A-4879-9C1C-29A15CA21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28574</xdr:rowOff>
    </xdr:from>
    <xdr:to>
      <xdr:col>17</xdr:col>
      <xdr:colOff>552450</xdr:colOff>
      <xdr:row>44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376107A-43AD-47B0-A670-A50D83D13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45</xdr:row>
      <xdr:rowOff>17370</xdr:rowOff>
    </xdr:from>
    <xdr:to>
      <xdr:col>17</xdr:col>
      <xdr:colOff>552450</xdr:colOff>
      <xdr:row>89</xdr:row>
      <xdr:rowOff>112621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4ECF7C9-F7CC-4EF2-9EE4-2DAF511A7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28574</xdr:rowOff>
    </xdr:from>
    <xdr:to>
      <xdr:col>17</xdr:col>
      <xdr:colOff>552450</xdr:colOff>
      <xdr:row>44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54431A7-14C1-46F7-8987-2C405A21E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45</xdr:row>
      <xdr:rowOff>17370</xdr:rowOff>
    </xdr:from>
    <xdr:to>
      <xdr:col>17</xdr:col>
      <xdr:colOff>552450</xdr:colOff>
      <xdr:row>89</xdr:row>
      <xdr:rowOff>112621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AC769E6-3FAD-41A8-B204-C0E517F5F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28574</xdr:rowOff>
    </xdr:from>
    <xdr:to>
      <xdr:col>17</xdr:col>
      <xdr:colOff>552450</xdr:colOff>
      <xdr:row>44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3512C52-6D3E-4D31-98C1-DB2D5FC35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45</xdr:row>
      <xdr:rowOff>17370</xdr:rowOff>
    </xdr:from>
    <xdr:to>
      <xdr:col>17</xdr:col>
      <xdr:colOff>552450</xdr:colOff>
      <xdr:row>89</xdr:row>
      <xdr:rowOff>112621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3C25289-5217-44EB-B1A5-62217BFD2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28574</xdr:rowOff>
    </xdr:from>
    <xdr:to>
      <xdr:col>17</xdr:col>
      <xdr:colOff>552450</xdr:colOff>
      <xdr:row>44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6EB6E7D-3FC4-434E-968F-3E6B1A40F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45</xdr:row>
      <xdr:rowOff>17370</xdr:rowOff>
    </xdr:from>
    <xdr:to>
      <xdr:col>17</xdr:col>
      <xdr:colOff>552450</xdr:colOff>
      <xdr:row>89</xdr:row>
      <xdr:rowOff>112621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EE568CD-9180-4A85-8FF7-865729E91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28574</xdr:rowOff>
    </xdr:from>
    <xdr:to>
      <xdr:col>17</xdr:col>
      <xdr:colOff>552450</xdr:colOff>
      <xdr:row>44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214360-C2EA-44BF-AA4B-12BA079C2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45</xdr:row>
      <xdr:rowOff>17370</xdr:rowOff>
    </xdr:from>
    <xdr:to>
      <xdr:col>17</xdr:col>
      <xdr:colOff>552450</xdr:colOff>
      <xdr:row>89</xdr:row>
      <xdr:rowOff>112621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6C3D9EC-3992-443C-9B9A-212CD6551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28574</xdr:rowOff>
    </xdr:from>
    <xdr:to>
      <xdr:col>17</xdr:col>
      <xdr:colOff>552450</xdr:colOff>
      <xdr:row>44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7D4F423-A29A-44BF-B1C5-A51B1FEE6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45</xdr:row>
      <xdr:rowOff>17370</xdr:rowOff>
    </xdr:from>
    <xdr:to>
      <xdr:col>17</xdr:col>
      <xdr:colOff>552450</xdr:colOff>
      <xdr:row>89</xdr:row>
      <xdr:rowOff>112621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D74BE85-A751-4937-BBD9-A9B1B5D67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28574</xdr:rowOff>
    </xdr:from>
    <xdr:to>
      <xdr:col>17</xdr:col>
      <xdr:colOff>552450</xdr:colOff>
      <xdr:row>44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294C9D1-8CA3-44FD-A2F1-DDE1EBD75B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45</xdr:row>
      <xdr:rowOff>17370</xdr:rowOff>
    </xdr:from>
    <xdr:to>
      <xdr:col>17</xdr:col>
      <xdr:colOff>552450</xdr:colOff>
      <xdr:row>89</xdr:row>
      <xdr:rowOff>112621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D404384-1B2B-4D86-AA80-A38B82091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28574</xdr:rowOff>
    </xdr:from>
    <xdr:to>
      <xdr:col>17</xdr:col>
      <xdr:colOff>552450</xdr:colOff>
      <xdr:row>44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59A1F78-3B32-4E34-8BF2-B2FB71CAD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45</xdr:row>
      <xdr:rowOff>17370</xdr:rowOff>
    </xdr:from>
    <xdr:to>
      <xdr:col>17</xdr:col>
      <xdr:colOff>552450</xdr:colOff>
      <xdr:row>89</xdr:row>
      <xdr:rowOff>112621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5E7EDFE-3A0D-47ED-828C-332E90082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28574</xdr:rowOff>
    </xdr:from>
    <xdr:to>
      <xdr:col>17</xdr:col>
      <xdr:colOff>552450</xdr:colOff>
      <xdr:row>44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41CB8E7-7EBD-4737-83BA-0B93B7D75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45</xdr:row>
      <xdr:rowOff>17370</xdr:rowOff>
    </xdr:from>
    <xdr:to>
      <xdr:col>17</xdr:col>
      <xdr:colOff>552450</xdr:colOff>
      <xdr:row>89</xdr:row>
      <xdr:rowOff>112621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18389C5-1174-4EDD-98A3-1D805B97A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28574</xdr:rowOff>
    </xdr:from>
    <xdr:to>
      <xdr:col>17</xdr:col>
      <xdr:colOff>552450</xdr:colOff>
      <xdr:row>44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E1D6B73-9D3D-4458-8D82-EFC0EA365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45</xdr:row>
      <xdr:rowOff>17370</xdr:rowOff>
    </xdr:from>
    <xdr:to>
      <xdr:col>17</xdr:col>
      <xdr:colOff>552450</xdr:colOff>
      <xdr:row>89</xdr:row>
      <xdr:rowOff>112621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D5A4B31-512F-4EE9-9402-DBDF1C650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28574</xdr:rowOff>
    </xdr:from>
    <xdr:to>
      <xdr:col>17</xdr:col>
      <xdr:colOff>552450</xdr:colOff>
      <xdr:row>44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24885C0-9F17-4E78-8600-9520770904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45</xdr:row>
      <xdr:rowOff>17370</xdr:rowOff>
    </xdr:from>
    <xdr:to>
      <xdr:col>17</xdr:col>
      <xdr:colOff>552450</xdr:colOff>
      <xdr:row>89</xdr:row>
      <xdr:rowOff>112621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C944D6F-651D-4819-9920-4B6883AF2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47A208F-3C9D-4E9A-9DE0-2B5244C59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6240452-15E6-4701-BF7E-6DF2471CE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3F2EA8D-5CF6-4C80-9077-47139070E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EB3A92D-D172-47DA-8032-0506BADDB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3C9607B-8EAA-40A2-BFFD-4EB9F52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E6E8505-6327-4A28-8899-0E417B20B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C0D95E2-E534-46C3-8696-E7BB95793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BDC08BD-3C94-4A3A-8B47-5C5C0CCFB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EF5EBAA-CB38-4DC9-ABD5-BEC63EF28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2402678-0472-402C-BF32-195735D1F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342ACFE-BBB0-4505-B421-987242E59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65DBD42-8999-4576-AD59-5BA81CABD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9F8D6B4-D806-4506-BF32-FFDF57932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BE4EF4A-FCBB-4AC1-9314-D1D2800D5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C49234E-4E13-4D9E-AC58-84951D400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5B940DB-9DC9-4232-A3F3-F1625572E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2242606-FC47-41B6-964F-A7BB6C84A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62C7EFC-61C8-45BB-A62F-F14888F66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0E0AD7B-2726-4385-835D-7EFCF49F2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5D29F86-2B4A-4004-BC2F-643D87A1F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7420408-62ED-461E-BBF2-DCB117DA5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AB17B9E-550B-4774-9492-67DD06621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12C2EA8-D733-4270-A62C-C5F8A12A8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A7E4AFD-CB63-45E9-9A3B-3A1E0D737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35FAD70-5157-45EC-A79D-FE1F75924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2C416BB-1B9B-44CA-8F89-FBBB8AB78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8F3E954-CB63-41BF-AF43-6877A2965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35BC9AD-3416-4321-9BFC-F553C7A0AC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45C89D1-AF81-457F-9972-B05FD8B7C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48EC531-4F8D-4691-9A00-CA581D0F5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9B4F5A4-DB0C-400A-9A6B-148BB528B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D08897B-9EE8-4647-82E9-0FA1A1A4A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1254774-A2BA-4C14-987B-F85EB446F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08B883E-059F-4A56-93FF-86A13432A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8B75776-1972-433B-B653-A5830E75F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02B6F69-4DEE-4D2F-A422-500A104D4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1A26DD8-8258-4AC8-818E-4B8A44F9C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D1EFDD9-87CA-45D6-A1BD-9938B5581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F37329C-F5B1-4874-A3B7-35D64A182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D80BCE1-5892-4E4F-A80F-459DDE29F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19049</xdr:rowOff>
    </xdr:from>
    <xdr:to>
      <xdr:col>13</xdr:col>
      <xdr:colOff>104775</xdr:colOff>
      <xdr:row>44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C411C9D-D3BE-4FCC-815C-0EA5F0081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45</xdr:row>
      <xdr:rowOff>26895</xdr:rowOff>
    </xdr:from>
    <xdr:to>
      <xdr:col>13</xdr:col>
      <xdr:colOff>119062</xdr:colOff>
      <xdr:row>92</xdr:row>
      <xdr:rowOff>119061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EDF0B7D-65CA-4D95-B38D-158510248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18</xdr:col>
      <xdr:colOff>601756</xdr:colOff>
      <xdr:row>75</xdr:row>
      <xdr:rowOff>33619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FA3B2AA-5262-45F0-A8E9-AF15B862B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881061</xdr:colOff>
      <xdr:row>161</xdr:row>
      <xdr:rowOff>142875</xdr:rowOff>
    </xdr:from>
    <xdr:to>
      <xdr:col>16</xdr:col>
      <xdr:colOff>152400</xdr:colOff>
      <xdr:row>191</xdr:row>
      <xdr:rowOff>9525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63B40D06-EAA6-38F2-891E-019B7CEB1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633410</xdr:colOff>
      <xdr:row>80</xdr:row>
      <xdr:rowOff>38099</xdr:rowOff>
    </xdr:from>
    <xdr:to>
      <xdr:col>18</xdr:col>
      <xdr:colOff>38100</xdr:colOff>
      <xdr:row>115</xdr:row>
      <xdr:rowOff>57150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20F1A525-F30E-2F00-3AAB-6E9050FF4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300035</xdr:colOff>
      <xdr:row>116</xdr:row>
      <xdr:rowOff>114299</xdr:rowOff>
    </xdr:from>
    <xdr:to>
      <xdr:col>17</xdr:col>
      <xdr:colOff>95249</xdr:colOff>
      <xdr:row>147</xdr:row>
      <xdr:rowOff>38100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CBAD32A7-AADA-2B85-3725-2281E2187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195</xdr:row>
      <xdr:rowOff>0</xdr:rowOff>
    </xdr:from>
    <xdr:to>
      <xdr:col>16</xdr:col>
      <xdr:colOff>157164</xdr:colOff>
      <xdr:row>224</xdr:row>
      <xdr:rowOff>76200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1D54776-BE2A-4A89-A5E9-3B56744C4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227</xdr:row>
      <xdr:rowOff>0</xdr:rowOff>
    </xdr:from>
    <xdr:to>
      <xdr:col>18</xdr:col>
      <xdr:colOff>442914</xdr:colOff>
      <xdr:row>257</xdr:row>
      <xdr:rowOff>133351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6A670B9-683F-42AA-BB9D-FC3C6553A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862012</xdr:colOff>
      <xdr:row>1</xdr:row>
      <xdr:rowOff>85724</xdr:rowOff>
    </xdr:from>
    <xdr:to>
      <xdr:col>18</xdr:col>
      <xdr:colOff>619125</xdr:colOff>
      <xdr:row>32</xdr:row>
      <xdr:rowOff>133349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FD2EC2C-8C60-7EEA-9E98-984F28741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7E7A-43A9-4AF1-9DEE-D66CFCECDAA8}">
  <dimension ref="A1:Y26"/>
  <sheetViews>
    <sheetView zoomScale="85" zoomScaleNormal="85" workbookViewId="0">
      <selection activeCell="B2" sqref="B2"/>
    </sheetView>
  </sheetViews>
  <sheetFormatPr defaultRowHeight="16.5" x14ac:dyDescent="0.3"/>
  <cols>
    <col min="3" max="4" width="15.125" bestFit="1" customWidth="1"/>
    <col min="22" max="23" width="15.125" bestFit="1" customWidth="1"/>
  </cols>
  <sheetData>
    <row r="1" spans="1:25" x14ac:dyDescent="0.3">
      <c r="A1" t="s">
        <v>0</v>
      </c>
      <c r="B1" t="s">
        <v>1</v>
      </c>
      <c r="V1" t="s">
        <v>11</v>
      </c>
      <c r="W1" t="s">
        <v>12</v>
      </c>
      <c r="X1" t="s">
        <v>96</v>
      </c>
      <c r="Y1" t="s">
        <v>121</v>
      </c>
    </row>
    <row r="2" spans="1:25" x14ac:dyDescent="0.3">
      <c r="A2" t="s">
        <v>96</v>
      </c>
      <c r="B2">
        <f t="shared" ref="B2:B26" si="0">VLOOKUP(A2,$U$2:$Y$26,5,0)</f>
        <v>64</v>
      </c>
      <c r="U2" t="s">
        <v>97</v>
      </c>
      <c r="V2">
        <v>9</v>
      </c>
      <c r="W2">
        <v>0</v>
      </c>
      <c r="Y2">
        <f>V2+W2+X2</f>
        <v>9</v>
      </c>
    </row>
    <row r="3" spans="1:25" x14ac:dyDescent="0.3">
      <c r="A3" t="s">
        <v>98</v>
      </c>
      <c r="B3">
        <f t="shared" si="0"/>
        <v>16</v>
      </c>
      <c r="U3" t="s">
        <v>98</v>
      </c>
      <c r="V3">
        <v>15</v>
      </c>
      <c r="W3">
        <v>1</v>
      </c>
      <c r="Y3">
        <f t="shared" ref="Y3:Y26" si="1">V3+W3+X3</f>
        <v>16</v>
      </c>
    </row>
    <row r="4" spans="1:25" x14ac:dyDescent="0.3">
      <c r="A4" t="s">
        <v>103</v>
      </c>
      <c r="B4">
        <f t="shared" si="0"/>
        <v>11</v>
      </c>
      <c r="U4" t="s">
        <v>99</v>
      </c>
      <c r="V4">
        <v>6</v>
      </c>
      <c r="W4">
        <v>1</v>
      </c>
      <c r="Y4">
        <f t="shared" si="1"/>
        <v>7</v>
      </c>
    </row>
    <row r="5" spans="1:25" x14ac:dyDescent="0.3">
      <c r="A5" t="s">
        <v>97</v>
      </c>
      <c r="B5">
        <f t="shared" si="0"/>
        <v>9</v>
      </c>
      <c r="U5" t="s">
        <v>100</v>
      </c>
      <c r="V5">
        <v>8</v>
      </c>
      <c r="W5">
        <v>0</v>
      </c>
      <c r="Y5">
        <f t="shared" si="1"/>
        <v>8</v>
      </c>
    </row>
    <row r="6" spans="1:25" x14ac:dyDescent="0.3">
      <c r="A6" t="s">
        <v>105</v>
      </c>
      <c r="B6">
        <f t="shared" si="0"/>
        <v>8</v>
      </c>
      <c r="U6" t="s">
        <v>101</v>
      </c>
      <c r="V6">
        <v>3</v>
      </c>
      <c r="W6">
        <v>0</v>
      </c>
      <c r="Y6">
        <f t="shared" si="1"/>
        <v>3</v>
      </c>
    </row>
    <row r="7" spans="1:25" x14ac:dyDescent="0.3">
      <c r="A7" t="s">
        <v>100</v>
      </c>
      <c r="B7">
        <f t="shared" si="0"/>
        <v>8</v>
      </c>
      <c r="U7" t="s">
        <v>102</v>
      </c>
      <c r="V7">
        <v>1</v>
      </c>
      <c r="W7">
        <v>0</v>
      </c>
      <c r="Y7">
        <f t="shared" si="1"/>
        <v>1</v>
      </c>
    </row>
    <row r="8" spans="1:25" x14ac:dyDescent="0.3">
      <c r="A8" t="s">
        <v>99</v>
      </c>
      <c r="B8">
        <f t="shared" si="0"/>
        <v>7</v>
      </c>
      <c r="U8" t="s">
        <v>103</v>
      </c>
      <c r="V8">
        <v>10</v>
      </c>
      <c r="W8">
        <v>1</v>
      </c>
      <c r="Y8">
        <f t="shared" si="1"/>
        <v>11</v>
      </c>
    </row>
    <row r="9" spans="1:25" x14ac:dyDescent="0.3">
      <c r="A9" t="s">
        <v>104</v>
      </c>
      <c r="B9">
        <f t="shared" si="0"/>
        <v>4</v>
      </c>
      <c r="U9" t="s">
        <v>104</v>
      </c>
      <c r="V9">
        <v>4</v>
      </c>
      <c r="W9">
        <v>0</v>
      </c>
      <c r="Y9">
        <f t="shared" si="1"/>
        <v>4</v>
      </c>
    </row>
    <row r="10" spans="1:25" x14ac:dyDescent="0.3">
      <c r="A10" t="s">
        <v>109</v>
      </c>
      <c r="B10">
        <f t="shared" si="0"/>
        <v>3</v>
      </c>
      <c r="U10" t="s">
        <v>105</v>
      </c>
      <c r="V10">
        <v>7</v>
      </c>
      <c r="W10">
        <v>1</v>
      </c>
      <c r="Y10">
        <f t="shared" si="1"/>
        <v>8</v>
      </c>
    </row>
    <row r="11" spans="1:25" x14ac:dyDescent="0.3">
      <c r="A11" t="s">
        <v>101</v>
      </c>
      <c r="B11">
        <f t="shared" si="0"/>
        <v>3</v>
      </c>
      <c r="U11" t="s">
        <v>106</v>
      </c>
      <c r="V11">
        <v>1</v>
      </c>
      <c r="W11">
        <v>0</v>
      </c>
      <c r="Y11">
        <f t="shared" si="1"/>
        <v>1</v>
      </c>
    </row>
    <row r="12" spans="1:25" x14ac:dyDescent="0.3">
      <c r="A12" t="s">
        <v>112</v>
      </c>
      <c r="B12">
        <f t="shared" si="0"/>
        <v>3</v>
      </c>
      <c r="U12" t="s">
        <v>107</v>
      </c>
      <c r="V12">
        <v>1</v>
      </c>
      <c r="W12">
        <v>0</v>
      </c>
      <c r="Y12">
        <f t="shared" si="1"/>
        <v>1</v>
      </c>
    </row>
    <row r="13" spans="1:25" x14ac:dyDescent="0.3">
      <c r="A13" t="s">
        <v>110</v>
      </c>
      <c r="B13">
        <f t="shared" si="0"/>
        <v>3</v>
      </c>
      <c r="U13" t="s">
        <v>108</v>
      </c>
      <c r="V13">
        <v>2</v>
      </c>
      <c r="W13">
        <v>0</v>
      </c>
      <c r="Y13">
        <f t="shared" si="1"/>
        <v>2</v>
      </c>
    </row>
    <row r="14" spans="1:25" x14ac:dyDescent="0.3">
      <c r="A14" t="s">
        <v>108</v>
      </c>
      <c r="B14">
        <f t="shared" si="0"/>
        <v>2</v>
      </c>
      <c r="U14" t="s">
        <v>109</v>
      </c>
      <c r="V14">
        <v>2</v>
      </c>
      <c r="W14">
        <v>1</v>
      </c>
      <c r="Y14">
        <f t="shared" si="1"/>
        <v>3</v>
      </c>
    </row>
    <row r="15" spans="1:25" x14ac:dyDescent="0.3">
      <c r="A15" t="s">
        <v>122</v>
      </c>
      <c r="B15">
        <f t="shared" si="0"/>
        <v>2</v>
      </c>
      <c r="U15" t="s">
        <v>110</v>
      </c>
      <c r="V15">
        <v>3</v>
      </c>
      <c r="W15">
        <v>0</v>
      </c>
      <c r="Y15">
        <f t="shared" si="1"/>
        <v>3</v>
      </c>
    </row>
    <row r="16" spans="1:25" x14ac:dyDescent="0.3">
      <c r="A16" t="s">
        <v>111</v>
      </c>
      <c r="B16">
        <f t="shared" si="0"/>
        <v>2</v>
      </c>
      <c r="U16" t="s">
        <v>111</v>
      </c>
      <c r="V16">
        <v>2</v>
      </c>
      <c r="W16">
        <v>0</v>
      </c>
      <c r="Y16">
        <f t="shared" si="1"/>
        <v>2</v>
      </c>
    </row>
    <row r="17" spans="1:25" x14ac:dyDescent="0.3">
      <c r="A17" t="s">
        <v>115</v>
      </c>
      <c r="B17">
        <f t="shared" si="0"/>
        <v>2</v>
      </c>
      <c r="U17" t="s">
        <v>112</v>
      </c>
      <c r="V17">
        <v>3</v>
      </c>
      <c r="W17">
        <v>0</v>
      </c>
      <c r="Y17">
        <f t="shared" si="1"/>
        <v>3</v>
      </c>
    </row>
    <row r="18" spans="1:25" x14ac:dyDescent="0.3">
      <c r="A18" t="s">
        <v>102</v>
      </c>
      <c r="B18">
        <f t="shared" si="0"/>
        <v>1</v>
      </c>
      <c r="U18" t="s">
        <v>113</v>
      </c>
      <c r="V18">
        <v>0</v>
      </c>
      <c r="W18">
        <v>0</v>
      </c>
      <c r="Y18">
        <f t="shared" si="1"/>
        <v>0</v>
      </c>
    </row>
    <row r="19" spans="1:25" x14ac:dyDescent="0.3">
      <c r="A19" t="s">
        <v>107</v>
      </c>
      <c r="B19">
        <f t="shared" si="0"/>
        <v>1</v>
      </c>
      <c r="U19" t="s">
        <v>114</v>
      </c>
      <c r="V19">
        <v>0</v>
      </c>
      <c r="W19">
        <v>0</v>
      </c>
      <c r="Y19">
        <f t="shared" si="1"/>
        <v>0</v>
      </c>
    </row>
    <row r="20" spans="1:25" x14ac:dyDescent="0.3">
      <c r="A20" t="s">
        <v>116</v>
      </c>
      <c r="B20">
        <f t="shared" si="0"/>
        <v>1</v>
      </c>
      <c r="U20" t="s">
        <v>115</v>
      </c>
      <c r="V20">
        <v>2</v>
      </c>
      <c r="W20">
        <v>0</v>
      </c>
      <c r="Y20">
        <f t="shared" si="1"/>
        <v>2</v>
      </c>
    </row>
    <row r="21" spans="1:25" x14ac:dyDescent="0.3">
      <c r="A21" t="s">
        <v>106</v>
      </c>
      <c r="B21">
        <f t="shared" si="0"/>
        <v>1</v>
      </c>
      <c r="U21" t="s">
        <v>116</v>
      </c>
      <c r="V21">
        <v>0</v>
      </c>
      <c r="W21">
        <v>1</v>
      </c>
      <c r="Y21">
        <f t="shared" si="1"/>
        <v>1</v>
      </c>
    </row>
    <row r="22" spans="1:25" x14ac:dyDescent="0.3">
      <c r="A22" t="s">
        <v>118</v>
      </c>
      <c r="B22">
        <f t="shared" si="0"/>
        <v>1</v>
      </c>
      <c r="U22" t="s">
        <v>117</v>
      </c>
      <c r="V22">
        <v>0</v>
      </c>
      <c r="W22">
        <v>0</v>
      </c>
      <c r="Y22">
        <f t="shared" si="1"/>
        <v>0</v>
      </c>
    </row>
    <row r="23" spans="1:25" x14ac:dyDescent="0.3">
      <c r="A23" t="s">
        <v>119</v>
      </c>
      <c r="B23">
        <f t="shared" si="0"/>
        <v>1</v>
      </c>
      <c r="U23" t="s">
        <v>118</v>
      </c>
      <c r="V23">
        <v>1</v>
      </c>
      <c r="W23">
        <v>0</v>
      </c>
      <c r="Y23">
        <f t="shared" si="1"/>
        <v>1</v>
      </c>
    </row>
    <row r="24" spans="1:25" x14ac:dyDescent="0.3">
      <c r="A24" t="s">
        <v>113</v>
      </c>
      <c r="B24">
        <f t="shared" si="0"/>
        <v>0</v>
      </c>
      <c r="U24" t="s">
        <v>119</v>
      </c>
      <c r="V24">
        <v>1</v>
      </c>
      <c r="W24">
        <v>0</v>
      </c>
      <c r="Y24">
        <f t="shared" si="1"/>
        <v>1</v>
      </c>
    </row>
    <row r="25" spans="1:25" x14ac:dyDescent="0.3">
      <c r="A25" t="s">
        <v>117</v>
      </c>
      <c r="B25">
        <f t="shared" si="0"/>
        <v>0</v>
      </c>
      <c r="U25" t="s">
        <v>122</v>
      </c>
      <c r="V25">
        <v>1</v>
      </c>
      <c r="W25">
        <v>1</v>
      </c>
      <c r="Y25">
        <f t="shared" si="1"/>
        <v>2</v>
      </c>
    </row>
    <row r="26" spans="1:25" x14ac:dyDescent="0.3">
      <c r="A26" t="s">
        <v>114</v>
      </c>
      <c r="B26">
        <f t="shared" si="0"/>
        <v>0</v>
      </c>
      <c r="U26" t="s">
        <v>120</v>
      </c>
      <c r="V26">
        <v>0</v>
      </c>
      <c r="W26">
        <v>0</v>
      </c>
      <c r="X26">
        <v>64</v>
      </c>
      <c r="Y26">
        <f t="shared" si="1"/>
        <v>64</v>
      </c>
    </row>
  </sheetData>
  <autoFilter ref="A1:B25" xr:uid="{B9727E7A-43A9-4AF1-9DEE-D66CFCECDAA8}">
    <sortState xmlns:xlrd2="http://schemas.microsoft.com/office/spreadsheetml/2017/richdata2" ref="A2:B26">
      <sortCondition descending="1" ref="B1:B25"/>
    </sortState>
  </autoFilter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DFA0-0123-4517-9EC3-7EB3A995D2C5}">
  <dimension ref="A1:Y26"/>
  <sheetViews>
    <sheetView zoomScale="85" zoomScaleNormal="85" workbookViewId="0">
      <selection activeCell="R50" sqref="R50"/>
    </sheetView>
  </sheetViews>
  <sheetFormatPr defaultRowHeight="16.5" x14ac:dyDescent="0.3"/>
  <cols>
    <col min="3" max="4" width="15.125" bestFit="1" customWidth="1"/>
    <col min="22" max="23" width="15.125" bestFit="1" customWidth="1"/>
  </cols>
  <sheetData>
    <row r="1" spans="1:25" x14ac:dyDescent="0.3">
      <c r="A1" t="s">
        <v>0</v>
      </c>
      <c r="B1" t="s">
        <v>1</v>
      </c>
      <c r="V1" t="s">
        <v>11</v>
      </c>
      <c r="W1" t="s">
        <v>12</v>
      </c>
      <c r="X1" t="s">
        <v>96</v>
      </c>
      <c r="Y1" t="s">
        <v>121</v>
      </c>
    </row>
    <row r="2" spans="1:25" x14ac:dyDescent="0.3">
      <c r="A2" t="s">
        <v>96</v>
      </c>
      <c r="B2">
        <f t="shared" ref="B2:B26" si="0">VLOOKUP(A2,$U$2:$Y$26,5,0)</f>
        <v>36</v>
      </c>
      <c r="U2" t="s">
        <v>97</v>
      </c>
      <c r="V2">
        <v>12</v>
      </c>
      <c r="W2">
        <v>0</v>
      </c>
      <c r="Y2">
        <f>V2+W2+X2</f>
        <v>12</v>
      </c>
    </row>
    <row r="3" spans="1:25" x14ac:dyDescent="0.3">
      <c r="A3" t="s">
        <v>98</v>
      </c>
      <c r="B3">
        <f t="shared" si="0"/>
        <v>13</v>
      </c>
      <c r="U3" t="s">
        <v>98</v>
      </c>
      <c r="V3">
        <v>10</v>
      </c>
      <c r="W3">
        <v>3</v>
      </c>
      <c r="Y3">
        <f t="shared" ref="Y3:Y26" si="1">V3+W3+X3</f>
        <v>13</v>
      </c>
    </row>
    <row r="4" spans="1:25" x14ac:dyDescent="0.3">
      <c r="A4" t="s">
        <v>97</v>
      </c>
      <c r="B4">
        <f t="shared" si="0"/>
        <v>12</v>
      </c>
      <c r="U4" t="s">
        <v>99</v>
      </c>
      <c r="V4">
        <v>5</v>
      </c>
      <c r="W4">
        <v>1</v>
      </c>
      <c r="Y4">
        <f t="shared" si="1"/>
        <v>6</v>
      </c>
    </row>
    <row r="5" spans="1:25" x14ac:dyDescent="0.3">
      <c r="A5" t="s">
        <v>103</v>
      </c>
      <c r="B5">
        <f t="shared" si="0"/>
        <v>11</v>
      </c>
      <c r="U5" t="s">
        <v>100</v>
      </c>
      <c r="V5">
        <v>1</v>
      </c>
      <c r="W5">
        <v>1</v>
      </c>
      <c r="Y5">
        <f t="shared" si="1"/>
        <v>2</v>
      </c>
    </row>
    <row r="6" spans="1:25" x14ac:dyDescent="0.3">
      <c r="A6" t="s">
        <v>105</v>
      </c>
      <c r="B6">
        <f t="shared" si="0"/>
        <v>6</v>
      </c>
      <c r="U6" t="s">
        <v>101</v>
      </c>
      <c r="V6">
        <v>2</v>
      </c>
      <c r="W6">
        <v>1</v>
      </c>
      <c r="Y6">
        <f t="shared" si="1"/>
        <v>3</v>
      </c>
    </row>
    <row r="7" spans="1:25" x14ac:dyDescent="0.3">
      <c r="A7" t="s">
        <v>99</v>
      </c>
      <c r="B7">
        <f t="shared" si="0"/>
        <v>6</v>
      </c>
      <c r="U7" t="s">
        <v>102</v>
      </c>
      <c r="V7">
        <v>4</v>
      </c>
      <c r="W7">
        <v>0</v>
      </c>
      <c r="Y7">
        <f t="shared" si="1"/>
        <v>4</v>
      </c>
    </row>
    <row r="8" spans="1:25" x14ac:dyDescent="0.3">
      <c r="A8" t="s">
        <v>104</v>
      </c>
      <c r="B8">
        <f t="shared" si="0"/>
        <v>5</v>
      </c>
      <c r="U8" t="s">
        <v>103</v>
      </c>
      <c r="V8">
        <v>11</v>
      </c>
      <c r="W8">
        <v>0</v>
      </c>
      <c r="Y8">
        <f t="shared" si="1"/>
        <v>11</v>
      </c>
    </row>
    <row r="9" spans="1:25" x14ac:dyDescent="0.3">
      <c r="A9" t="s">
        <v>109</v>
      </c>
      <c r="B9">
        <f t="shared" si="0"/>
        <v>5</v>
      </c>
      <c r="U9" t="s">
        <v>104</v>
      </c>
      <c r="V9">
        <v>4</v>
      </c>
      <c r="W9">
        <v>1</v>
      </c>
      <c r="Y9">
        <f t="shared" si="1"/>
        <v>5</v>
      </c>
    </row>
    <row r="10" spans="1:25" x14ac:dyDescent="0.3">
      <c r="A10" t="s">
        <v>102</v>
      </c>
      <c r="B10">
        <f t="shared" si="0"/>
        <v>4</v>
      </c>
      <c r="U10" t="s">
        <v>105</v>
      </c>
      <c r="V10">
        <v>6</v>
      </c>
      <c r="W10">
        <v>0</v>
      </c>
      <c r="Y10">
        <f t="shared" si="1"/>
        <v>6</v>
      </c>
    </row>
    <row r="11" spans="1:25" x14ac:dyDescent="0.3">
      <c r="A11" t="s">
        <v>101</v>
      </c>
      <c r="B11">
        <f t="shared" si="0"/>
        <v>3</v>
      </c>
      <c r="U11" t="s">
        <v>106</v>
      </c>
      <c r="V11">
        <v>0</v>
      </c>
      <c r="W11">
        <v>0</v>
      </c>
      <c r="Y11">
        <f t="shared" si="1"/>
        <v>0</v>
      </c>
    </row>
    <row r="12" spans="1:25" x14ac:dyDescent="0.3">
      <c r="A12" t="s">
        <v>112</v>
      </c>
      <c r="B12">
        <f t="shared" si="0"/>
        <v>3</v>
      </c>
      <c r="U12" t="s">
        <v>107</v>
      </c>
      <c r="V12">
        <v>1</v>
      </c>
      <c r="W12">
        <v>0</v>
      </c>
      <c r="Y12">
        <f t="shared" si="1"/>
        <v>1</v>
      </c>
    </row>
    <row r="13" spans="1:25" x14ac:dyDescent="0.3">
      <c r="A13" t="s">
        <v>110</v>
      </c>
      <c r="B13">
        <f t="shared" si="0"/>
        <v>3</v>
      </c>
      <c r="U13" t="s">
        <v>108</v>
      </c>
      <c r="V13">
        <v>3</v>
      </c>
      <c r="W13">
        <v>0</v>
      </c>
      <c r="Y13">
        <f t="shared" si="1"/>
        <v>3</v>
      </c>
    </row>
    <row r="14" spans="1:25" x14ac:dyDescent="0.3">
      <c r="A14" t="s">
        <v>108</v>
      </c>
      <c r="B14">
        <f t="shared" si="0"/>
        <v>3</v>
      </c>
      <c r="U14" t="s">
        <v>109</v>
      </c>
      <c r="V14">
        <v>2</v>
      </c>
      <c r="W14">
        <v>3</v>
      </c>
      <c r="Y14">
        <f t="shared" si="1"/>
        <v>5</v>
      </c>
    </row>
    <row r="15" spans="1:25" x14ac:dyDescent="0.3">
      <c r="A15" t="s">
        <v>100</v>
      </c>
      <c r="B15">
        <f t="shared" si="0"/>
        <v>2</v>
      </c>
      <c r="U15" t="s">
        <v>110</v>
      </c>
      <c r="V15">
        <v>3</v>
      </c>
      <c r="W15">
        <v>0</v>
      </c>
      <c r="Y15">
        <f t="shared" si="1"/>
        <v>3</v>
      </c>
    </row>
    <row r="16" spans="1:25" x14ac:dyDescent="0.3">
      <c r="A16" t="s">
        <v>113</v>
      </c>
      <c r="B16">
        <f t="shared" si="0"/>
        <v>2</v>
      </c>
      <c r="U16" t="s">
        <v>111</v>
      </c>
      <c r="V16">
        <v>1</v>
      </c>
      <c r="W16">
        <v>0</v>
      </c>
      <c r="Y16">
        <f t="shared" si="1"/>
        <v>1</v>
      </c>
    </row>
    <row r="17" spans="1:25" x14ac:dyDescent="0.3">
      <c r="A17" t="s">
        <v>111</v>
      </c>
      <c r="B17">
        <f t="shared" si="0"/>
        <v>1</v>
      </c>
      <c r="U17" t="s">
        <v>112</v>
      </c>
      <c r="V17">
        <v>3</v>
      </c>
      <c r="W17">
        <v>0</v>
      </c>
      <c r="Y17">
        <f t="shared" si="1"/>
        <v>3</v>
      </c>
    </row>
    <row r="18" spans="1:25" x14ac:dyDescent="0.3">
      <c r="A18" t="s">
        <v>107</v>
      </c>
      <c r="B18">
        <f t="shared" si="0"/>
        <v>1</v>
      </c>
      <c r="U18" t="s">
        <v>113</v>
      </c>
      <c r="V18">
        <v>2</v>
      </c>
      <c r="W18">
        <v>0</v>
      </c>
      <c r="Y18">
        <f t="shared" si="1"/>
        <v>2</v>
      </c>
    </row>
    <row r="19" spans="1:25" x14ac:dyDescent="0.3">
      <c r="A19" t="s">
        <v>116</v>
      </c>
      <c r="B19">
        <f t="shared" si="0"/>
        <v>1</v>
      </c>
      <c r="U19" t="s">
        <v>114</v>
      </c>
      <c r="V19">
        <v>0</v>
      </c>
      <c r="W19">
        <v>0</v>
      </c>
      <c r="Y19">
        <f t="shared" si="1"/>
        <v>0</v>
      </c>
    </row>
    <row r="20" spans="1:25" x14ac:dyDescent="0.3">
      <c r="A20" t="s">
        <v>122</v>
      </c>
      <c r="B20">
        <f t="shared" si="0"/>
        <v>0</v>
      </c>
      <c r="U20" t="s">
        <v>115</v>
      </c>
      <c r="V20">
        <v>0</v>
      </c>
      <c r="W20">
        <v>0</v>
      </c>
      <c r="Y20">
        <f t="shared" si="1"/>
        <v>0</v>
      </c>
    </row>
    <row r="21" spans="1:25" x14ac:dyDescent="0.3">
      <c r="A21" t="s">
        <v>115</v>
      </c>
      <c r="B21">
        <f t="shared" si="0"/>
        <v>0</v>
      </c>
      <c r="U21" t="s">
        <v>116</v>
      </c>
      <c r="V21">
        <v>1</v>
      </c>
      <c r="W21">
        <v>0</v>
      </c>
      <c r="Y21">
        <f t="shared" si="1"/>
        <v>1</v>
      </c>
    </row>
    <row r="22" spans="1:25" x14ac:dyDescent="0.3">
      <c r="A22" t="s">
        <v>106</v>
      </c>
      <c r="B22">
        <f t="shared" si="0"/>
        <v>0</v>
      </c>
      <c r="U22" t="s">
        <v>117</v>
      </c>
      <c r="V22">
        <v>0</v>
      </c>
      <c r="W22">
        <v>0</v>
      </c>
      <c r="Y22">
        <f t="shared" si="1"/>
        <v>0</v>
      </c>
    </row>
    <row r="23" spans="1:25" x14ac:dyDescent="0.3">
      <c r="A23" t="s">
        <v>118</v>
      </c>
      <c r="B23">
        <f t="shared" si="0"/>
        <v>0</v>
      </c>
      <c r="U23" t="s">
        <v>118</v>
      </c>
      <c r="V23">
        <v>0</v>
      </c>
      <c r="W23">
        <v>0</v>
      </c>
      <c r="Y23">
        <f t="shared" si="1"/>
        <v>0</v>
      </c>
    </row>
    <row r="24" spans="1:25" x14ac:dyDescent="0.3">
      <c r="A24" t="s">
        <v>119</v>
      </c>
      <c r="B24">
        <f t="shared" si="0"/>
        <v>0</v>
      </c>
      <c r="U24" t="s">
        <v>119</v>
      </c>
      <c r="V24">
        <v>0</v>
      </c>
      <c r="W24">
        <v>0</v>
      </c>
      <c r="Y24">
        <f t="shared" si="1"/>
        <v>0</v>
      </c>
    </row>
    <row r="25" spans="1:25" x14ac:dyDescent="0.3">
      <c r="A25" t="s">
        <v>117</v>
      </c>
      <c r="B25">
        <f t="shared" si="0"/>
        <v>0</v>
      </c>
      <c r="U25" t="s">
        <v>122</v>
      </c>
      <c r="V25">
        <v>0</v>
      </c>
      <c r="W25">
        <v>0</v>
      </c>
      <c r="Y25">
        <f t="shared" si="1"/>
        <v>0</v>
      </c>
    </row>
    <row r="26" spans="1:25" x14ac:dyDescent="0.3">
      <c r="A26" t="s">
        <v>114</v>
      </c>
      <c r="B26">
        <f t="shared" si="0"/>
        <v>0</v>
      </c>
      <c r="U26" t="s">
        <v>96</v>
      </c>
      <c r="V26">
        <v>0</v>
      </c>
      <c r="W26">
        <v>0</v>
      </c>
      <c r="X26">
        <v>36</v>
      </c>
      <c r="Y26">
        <f t="shared" si="1"/>
        <v>36</v>
      </c>
    </row>
  </sheetData>
  <autoFilter ref="A1:B25" xr:uid="{B9727E7A-43A9-4AF1-9DEE-D66CFCECDAA8}">
    <sortState xmlns:xlrd2="http://schemas.microsoft.com/office/spreadsheetml/2017/richdata2" ref="A2:B26">
      <sortCondition descending="1" ref="B1:B25"/>
    </sortState>
  </autoFilter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5A3C-B845-40D8-B53E-7027DA978091}">
  <dimension ref="A1:Y26"/>
  <sheetViews>
    <sheetView zoomScale="85" zoomScaleNormal="85" workbookViewId="0">
      <selection activeCell="N50" sqref="N50"/>
    </sheetView>
  </sheetViews>
  <sheetFormatPr defaultRowHeight="16.5" x14ac:dyDescent="0.3"/>
  <cols>
    <col min="3" max="4" width="15.125" bestFit="1" customWidth="1"/>
    <col min="22" max="23" width="15.125" bestFit="1" customWidth="1"/>
  </cols>
  <sheetData>
    <row r="1" spans="1:25" x14ac:dyDescent="0.3">
      <c r="A1" t="s">
        <v>0</v>
      </c>
      <c r="B1" t="s">
        <v>1</v>
      </c>
      <c r="V1" t="s">
        <v>11</v>
      </c>
      <c r="W1" t="s">
        <v>12</v>
      </c>
      <c r="X1" t="s">
        <v>96</v>
      </c>
      <c r="Y1" t="s">
        <v>121</v>
      </c>
    </row>
    <row r="2" spans="1:25" x14ac:dyDescent="0.3">
      <c r="A2" t="s">
        <v>96</v>
      </c>
      <c r="B2">
        <f t="shared" ref="B2:B26" si="0">VLOOKUP(A2,$U$2:$Y$26,5,0)</f>
        <v>37</v>
      </c>
      <c r="U2" t="s">
        <v>97</v>
      </c>
      <c r="V2">
        <v>3</v>
      </c>
      <c r="W2">
        <v>4</v>
      </c>
      <c r="Y2">
        <f>V2+W2+X2</f>
        <v>7</v>
      </c>
    </row>
    <row r="3" spans="1:25" x14ac:dyDescent="0.3">
      <c r="A3" t="s">
        <v>98</v>
      </c>
      <c r="B3">
        <f t="shared" si="0"/>
        <v>17</v>
      </c>
      <c r="U3" t="s">
        <v>98</v>
      </c>
      <c r="V3">
        <v>16</v>
      </c>
      <c r="W3">
        <v>1</v>
      </c>
      <c r="Y3">
        <f t="shared" ref="Y3:Y26" si="1">V3+W3+X3</f>
        <v>17</v>
      </c>
    </row>
    <row r="4" spans="1:25" x14ac:dyDescent="0.3">
      <c r="A4" t="s">
        <v>99</v>
      </c>
      <c r="B4">
        <f t="shared" si="0"/>
        <v>13</v>
      </c>
      <c r="U4" t="s">
        <v>99</v>
      </c>
      <c r="V4">
        <v>7</v>
      </c>
      <c r="W4">
        <v>6</v>
      </c>
      <c r="Y4">
        <f t="shared" si="1"/>
        <v>13</v>
      </c>
    </row>
    <row r="5" spans="1:25" x14ac:dyDescent="0.3">
      <c r="A5" t="s">
        <v>103</v>
      </c>
      <c r="B5">
        <f t="shared" si="0"/>
        <v>12</v>
      </c>
      <c r="U5" t="s">
        <v>100</v>
      </c>
      <c r="V5">
        <v>2</v>
      </c>
      <c r="W5">
        <v>4</v>
      </c>
      <c r="Y5">
        <f t="shared" si="1"/>
        <v>6</v>
      </c>
    </row>
    <row r="6" spans="1:25" x14ac:dyDescent="0.3">
      <c r="A6" t="s">
        <v>105</v>
      </c>
      <c r="B6">
        <f t="shared" si="0"/>
        <v>11</v>
      </c>
      <c r="U6" t="s">
        <v>101</v>
      </c>
      <c r="V6">
        <v>0</v>
      </c>
      <c r="W6">
        <v>0</v>
      </c>
      <c r="Y6">
        <f t="shared" si="1"/>
        <v>0</v>
      </c>
    </row>
    <row r="7" spans="1:25" x14ac:dyDescent="0.3">
      <c r="A7" t="s">
        <v>97</v>
      </c>
      <c r="B7">
        <f t="shared" si="0"/>
        <v>7</v>
      </c>
      <c r="U7" t="s">
        <v>102</v>
      </c>
      <c r="V7">
        <v>4</v>
      </c>
      <c r="W7">
        <v>1</v>
      </c>
      <c r="Y7">
        <f t="shared" si="1"/>
        <v>5</v>
      </c>
    </row>
    <row r="8" spans="1:25" x14ac:dyDescent="0.3">
      <c r="A8" t="s">
        <v>100</v>
      </c>
      <c r="B8">
        <f t="shared" si="0"/>
        <v>6</v>
      </c>
      <c r="U8" t="s">
        <v>103</v>
      </c>
      <c r="V8">
        <v>10</v>
      </c>
      <c r="W8">
        <v>2</v>
      </c>
      <c r="Y8">
        <f t="shared" si="1"/>
        <v>12</v>
      </c>
    </row>
    <row r="9" spans="1:25" x14ac:dyDescent="0.3">
      <c r="A9" t="s">
        <v>102</v>
      </c>
      <c r="B9">
        <f t="shared" si="0"/>
        <v>5</v>
      </c>
      <c r="U9" t="s">
        <v>104</v>
      </c>
      <c r="V9">
        <v>3</v>
      </c>
      <c r="W9">
        <v>0</v>
      </c>
      <c r="Y9">
        <f t="shared" si="1"/>
        <v>3</v>
      </c>
    </row>
    <row r="10" spans="1:25" x14ac:dyDescent="0.3">
      <c r="A10" t="s">
        <v>104</v>
      </c>
      <c r="B10">
        <f t="shared" si="0"/>
        <v>3</v>
      </c>
      <c r="U10" t="s">
        <v>105</v>
      </c>
      <c r="V10">
        <v>11</v>
      </c>
      <c r="W10">
        <v>0</v>
      </c>
      <c r="Y10">
        <f t="shared" si="1"/>
        <v>11</v>
      </c>
    </row>
    <row r="11" spans="1:25" x14ac:dyDescent="0.3">
      <c r="A11" t="s">
        <v>109</v>
      </c>
      <c r="B11">
        <f t="shared" si="0"/>
        <v>3</v>
      </c>
      <c r="U11" t="s">
        <v>106</v>
      </c>
      <c r="V11">
        <v>0</v>
      </c>
      <c r="W11">
        <v>0</v>
      </c>
      <c r="Y11">
        <f t="shared" si="1"/>
        <v>0</v>
      </c>
    </row>
    <row r="12" spans="1:25" x14ac:dyDescent="0.3">
      <c r="A12" t="s">
        <v>112</v>
      </c>
      <c r="B12">
        <f t="shared" si="0"/>
        <v>3</v>
      </c>
      <c r="U12" t="s">
        <v>107</v>
      </c>
      <c r="V12">
        <v>1</v>
      </c>
      <c r="W12">
        <v>0</v>
      </c>
      <c r="Y12">
        <f t="shared" si="1"/>
        <v>1</v>
      </c>
    </row>
    <row r="13" spans="1:25" x14ac:dyDescent="0.3">
      <c r="A13" t="s">
        <v>111</v>
      </c>
      <c r="B13">
        <f t="shared" si="0"/>
        <v>3</v>
      </c>
      <c r="U13" t="s">
        <v>108</v>
      </c>
      <c r="V13">
        <v>2</v>
      </c>
      <c r="W13">
        <v>0</v>
      </c>
      <c r="Y13">
        <f t="shared" si="1"/>
        <v>2</v>
      </c>
    </row>
    <row r="14" spans="1:25" x14ac:dyDescent="0.3">
      <c r="A14" t="s">
        <v>110</v>
      </c>
      <c r="B14">
        <f t="shared" si="0"/>
        <v>2</v>
      </c>
      <c r="U14" t="s">
        <v>109</v>
      </c>
      <c r="V14">
        <v>1</v>
      </c>
      <c r="W14">
        <v>2</v>
      </c>
      <c r="Y14">
        <f t="shared" si="1"/>
        <v>3</v>
      </c>
    </row>
    <row r="15" spans="1:25" x14ac:dyDescent="0.3">
      <c r="A15" t="s">
        <v>108</v>
      </c>
      <c r="B15">
        <f t="shared" si="0"/>
        <v>2</v>
      </c>
      <c r="U15" t="s">
        <v>110</v>
      </c>
      <c r="V15">
        <v>0</v>
      </c>
      <c r="W15">
        <v>2</v>
      </c>
      <c r="Y15">
        <f t="shared" si="1"/>
        <v>2</v>
      </c>
    </row>
    <row r="16" spans="1:25" x14ac:dyDescent="0.3">
      <c r="A16" t="s">
        <v>116</v>
      </c>
      <c r="B16">
        <f t="shared" si="0"/>
        <v>2</v>
      </c>
      <c r="U16" t="s">
        <v>111</v>
      </c>
      <c r="V16">
        <v>1</v>
      </c>
      <c r="W16">
        <v>2</v>
      </c>
      <c r="Y16">
        <f t="shared" si="1"/>
        <v>3</v>
      </c>
    </row>
    <row r="17" spans="1:25" x14ac:dyDescent="0.3">
      <c r="A17" t="s">
        <v>107</v>
      </c>
      <c r="B17">
        <f t="shared" si="0"/>
        <v>1</v>
      </c>
      <c r="U17" t="s">
        <v>112</v>
      </c>
      <c r="V17">
        <v>3</v>
      </c>
      <c r="W17">
        <v>0</v>
      </c>
      <c r="Y17">
        <f t="shared" si="1"/>
        <v>3</v>
      </c>
    </row>
    <row r="18" spans="1:25" x14ac:dyDescent="0.3">
      <c r="A18" t="s">
        <v>101</v>
      </c>
      <c r="B18">
        <f t="shared" si="0"/>
        <v>0</v>
      </c>
      <c r="U18" t="s">
        <v>113</v>
      </c>
      <c r="V18">
        <v>0</v>
      </c>
      <c r="W18">
        <v>0</v>
      </c>
      <c r="Y18">
        <f t="shared" si="1"/>
        <v>0</v>
      </c>
    </row>
    <row r="19" spans="1:25" x14ac:dyDescent="0.3">
      <c r="A19" t="s">
        <v>113</v>
      </c>
      <c r="B19">
        <f t="shared" si="0"/>
        <v>0</v>
      </c>
      <c r="U19" t="s">
        <v>114</v>
      </c>
      <c r="V19">
        <v>0</v>
      </c>
      <c r="W19">
        <v>0</v>
      </c>
      <c r="Y19">
        <f t="shared" si="1"/>
        <v>0</v>
      </c>
    </row>
    <row r="20" spans="1:25" x14ac:dyDescent="0.3">
      <c r="A20" t="s">
        <v>122</v>
      </c>
      <c r="B20">
        <f t="shared" si="0"/>
        <v>0</v>
      </c>
      <c r="U20" t="s">
        <v>115</v>
      </c>
      <c r="V20">
        <v>0</v>
      </c>
      <c r="W20">
        <v>0</v>
      </c>
      <c r="Y20">
        <f t="shared" si="1"/>
        <v>0</v>
      </c>
    </row>
    <row r="21" spans="1:25" x14ac:dyDescent="0.3">
      <c r="A21" t="s">
        <v>115</v>
      </c>
      <c r="B21">
        <f t="shared" si="0"/>
        <v>0</v>
      </c>
      <c r="U21" t="s">
        <v>116</v>
      </c>
      <c r="V21">
        <v>2</v>
      </c>
      <c r="W21">
        <v>0</v>
      </c>
      <c r="Y21">
        <f t="shared" si="1"/>
        <v>2</v>
      </c>
    </row>
    <row r="22" spans="1:25" x14ac:dyDescent="0.3">
      <c r="A22" t="s">
        <v>106</v>
      </c>
      <c r="B22">
        <f t="shared" si="0"/>
        <v>0</v>
      </c>
      <c r="U22" t="s">
        <v>117</v>
      </c>
      <c r="V22">
        <v>0</v>
      </c>
      <c r="W22">
        <v>0</v>
      </c>
      <c r="Y22">
        <f t="shared" si="1"/>
        <v>0</v>
      </c>
    </row>
    <row r="23" spans="1:25" x14ac:dyDescent="0.3">
      <c r="A23" t="s">
        <v>118</v>
      </c>
      <c r="B23">
        <f t="shared" si="0"/>
        <v>0</v>
      </c>
      <c r="U23" t="s">
        <v>118</v>
      </c>
      <c r="V23">
        <v>0</v>
      </c>
      <c r="W23">
        <v>0</v>
      </c>
      <c r="Y23">
        <f t="shared" si="1"/>
        <v>0</v>
      </c>
    </row>
    <row r="24" spans="1:25" x14ac:dyDescent="0.3">
      <c r="A24" t="s">
        <v>119</v>
      </c>
      <c r="B24">
        <f t="shared" si="0"/>
        <v>0</v>
      </c>
      <c r="U24" t="s">
        <v>119</v>
      </c>
      <c r="V24">
        <v>0</v>
      </c>
      <c r="W24">
        <v>0</v>
      </c>
      <c r="Y24">
        <f t="shared" si="1"/>
        <v>0</v>
      </c>
    </row>
    <row r="25" spans="1:25" x14ac:dyDescent="0.3">
      <c r="A25" t="s">
        <v>117</v>
      </c>
      <c r="B25">
        <f t="shared" si="0"/>
        <v>0</v>
      </c>
      <c r="U25" t="s">
        <v>122</v>
      </c>
      <c r="V25">
        <v>0</v>
      </c>
      <c r="W25">
        <v>0</v>
      </c>
      <c r="Y25">
        <f t="shared" si="1"/>
        <v>0</v>
      </c>
    </row>
    <row r="26" spans="1:25" x14ac:dyDescent="0.3">
      <c r="A26" t="s">
        <v>114</v>
      </c>
      <c r="B26">
        <f t="shared" si="0"/>
        <v>0</v>
      </c>
      <c r="U26" t="s">
        <v>96</v>
      </c>
      <c r="V26">
        <v>0</v>
      </c>
      <c r="W26">
        <v>37</v>
      </c>
      <c r="Y26">
        <f t="shared" si="1"/>
        <v>37</v>
      </c>
    </row>
  </sheetData>
  <autoFilter ref="A1:B25" xr:uid="{B9727E7A-43A9-4AF1-9DEE-D66CFCECDAA8}">
    <sortState xmlns:xlrd2="http://schemas.microsoft.com/office/spreadsheetml/2017/richdata2" ref="A2:B26">
      <sortCondition descending="1" ref="B1:B25"/>
    </sortState>
  </autoFilter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64A1-D396-4943-AC60-D8E1D765BE7A}">
  <dimension ref="A1:Y26"/>
  <sheetViews>
    <sheetView zoomScale="85" zoomScaleNormal="85" workbookViewId="0">
      <selection activeCell="S29" sqref="S29"/>
    </sheetView>
  </sheetViews>
  <sheetFormatPr defaultRowHeight="16.5" x14ac:dyDescent="0.3"/>
  <cols>
    <col min="3" max="4" width="15.125" bestFit="1" customWidth="1"/>
    <col min="22" max="23" width="15.125" bestFit="1" customWidth="1"/>
  </cols>
  <sheetData>
    <row r="1" spans="1:25" x14ac:dyDescent="0.3">
      <c r="A1" t="s">
        <v>0</v>
      </c>
      <c r="B1" t="s">
        <v>1</v>
      </c>
      <c r="V1" t="s">
        <v>11</v>
      </c>
      <c r="W1" t="s">
        <v>12</v>
      </c>
      <c r="X1" t="s">
        <v>96</v>
      </c>
      <c r="Y1" t="s">
        <v>121</v>
      </c>
    </row>
    <row r="2" spans="1:25" x14ac:dyDescent="0.3">
      <c r="A2" t="s">
        <v>96</v>
      </c>
      <c r="B2">
        <f t="shared" ref="B2:B26" si="0">VLOOKUP(A2,$U$2:$Y$26,5,0)</f>
        <v>47</v>
      </c>
      <c r="U2" t="s">
        <v>97</v>
      </c>
      <c r="V2">
        <v>3</v>
      </c>
      <c r="W2">
        <v>4</v>
      </c>
      <c r="X2">
        <v>0</v>
      </c>
      <c r="Y2">
        <f>V2+W2+X2</f>
        <v>7</v>
      </c>
    </row>
    <row r="3" spans="1:25" x14ac:dyDescent="0.3">
      <c r="A3" t="s">
        <v>105</v>
      </c>
      <c r="B3">
        <f t="shared" si="0"/>
        <v>12</v>
      </c>
      <c r="U3" t="s">
        <v>98</v>
      </c>
      <c r="V3">
        <v>11</v>
      </c>
      <c r="W3">
        <v>0</v>
      </c>
      <c r="X3">
        <v>0</v>
      </c>
      <c r="Y3">
        <f t="shared" ref="Y3:Y26" si="1">V3+W3+X3</f>
        <v>11</v>
      </c>
    </row>
    <row r="4" spans="1:25" x14ac:dyDescent="0.3">
      <c r="A4" t="s">
        <v>98</v>
      </c>
      <c r="B4">
        <f t="shared" si="0"/>
        <v>11</v>
      </c>
      <c r="U4" t="s">
        <v>99</v>
      </c>
      <c r="V4">
        <v>3</v>
      </c>
      <c r="W4">
        <v>4</v>
      </c>
      <c r="X4">
        <v>0</v>
      </c>
      <c r="Y4">
        <f t="shared" si="1"/>
        <v>7</v>
      </c>
    </row>
    <row r="5" spans="1:25" x14ac:dyDescent="0.3">
      <c r="A5" t="s">
        <v>109</v>
      </c>
      <c r="B5">
        <f t="shared" si="0"/>
        <v>10</v>
      </c>
      <c r="U5" t="s">
        <v>100</v>
      </c>
      <c r="V5">
        <v>4</v>
      </c>
      <c r="W5">
        <v>2</v>
      </c>
      <c r="X5">
        <v>0</v>
      </c>
      <c r="Y5">
        <f t="shared" si="1"/>
        <v>6</v>
      </c>
    </row>
    <row r="6" spans="1:25" x14ac:dyDescent="0.3">
      <c r="A6" t="s">
        <v>103</v>
      </c>
      <c r="B6">
        <f t="shared" si="0"/>
        <v>8</v>
      </c>
      <c r="U6" t="s">
        <v>101</v>
      </c>
      <c r="V6">
        <v>1</v>
      </c>
      <c r="W6">
        <v>0</v>
      </c>
      <c r="X6">
        <v>0</v>
      </c>
      <c r="Y6">
        <f t="shared" si="1"/>
        <v>1</v>
      </c>
    </row>
    <row r="7" spans="1:25" x14ac:dyDescent="0.3">
      <c r="A7" t="s">
        <v>99</v>
      </c>
      <c r="B7">
        <f t="shared" si="0"/>
        <v>7</v>
      </c>
      <c r="U7" t="s">
        <v>102</v>
      </c>
      <c r="V7">
        <v>5</v>
      </c>
      <c r="W7">
        <v>1</v>
      </c>
      <c r="X7">
        <v>0</v>
      </c>
      <c r="Y7">
        <f t="shared" si="1"/>
        <v>6</v>
      </c>
    </row>
    <row r="8" spans="1:25" x14ac:dyDescent="0.3">
      <c r="A8" t="s">
        <v>97</v>
      </c>
      <c r="B8">
        <f t="shared" si="0"/>
        <v>7</v>
      </c>
      <c r="U8" t="s">
        <v>103</v>
      </c>
      <c r="V8">
        <v>7</v>
      </c>
      <c r="W8">
        <v>1</v>
      </c>
      <c r="X8">
        <v>0</v>
      </c>
      <c r="Y8">
        <f t="shared" si="1"/>
        <v>8</v>
      </c>
    </row>
    <row r="9" spans="1:25" x14ac:dyDescent="0.3">
      <c r="A9" t="s">
        <v>100</v>
      </c>
      <c r="B9">
        <f t="shared" si="0"/>
        <v>6</v>
      </c>
      <c r="U9" t="s">
        <v>104</v>
      </c>
      <c r="V9">
        <v>5</v>
      </c>
      <c r="W9">
        <v>0</v>
      </c>
      <c r="X9">
        <v>0</v>
      </c>
      <c r="Y9">
        <f t="shared" si="1"/>
        <v>5</v>
      </c>
    </row>
    <row r="10" spans="1:25" x14ac:dyDescent="0.3">
      <c r="A10" t="s">
        <v>102</v>
      </c>
      <c r="B10">
        <f t="shared" si="0"/>
        <v>6</v>
      </c>
      <c r="U10" t="s">
        <v>105</v>
      </c>
      <c r="V10">
        <v>12</v>
      </c>
      <c r="W10">
        <v>0</v>
      </c>
      <c r="X10">
        <v>0</v>
      </c>
      <c r="Y10">
        <f t="shared" si="1"/>
        <v>12</v>
      </c>
    </row>
    <row r="11" spans="1:25" x14ac:dyDescent="0.3">
      <c r="A11" t="s">
        <v>104</v>
      </c>
      <c r="B11">
        <f t="shared" si="0"/>
        <v>5</v>
      </c>
      <c r="U11" t="s">
        <v>106</v>
      </c>
      <c r="V11">
        <v>2</v>
      </c>
      <c r="W11">
        <v>0</v>
      </c>
      <c r="X11">
        <v>0</v>
      </c>
      <c r="Y11">
        <f t="shared" si="1"/>
        <v>2</v>
      </c>
    </row>
    <row r="12" spans="1:25" x14ac:dyDescent="0.3">
      <c r="A12" t="s">
        <v>108</v>
      </c>
      <c r="B12">
        <f t="shared" si="0"/>
        <v>2</v>
      </c>
      <c r="U12" t="s">
        <v>107</v>
      </c>
      <c r="V12">
        <v>1</v>
      </c>
      <c r="W12">
        <v>0</v>
      </c>
      <c r="X12">
        <v>0</v>
      </c>
      <c r="Y12">
        <f t="shared" si="1"/>
        <v>1</v>
      </c>
    </row>
    <row r="13" spans="1:25" x14ac:dyDescent="0.3">
      <c r="A13" t="s">
        <v>113</v>
      </c>
      <c r="B13">
        <f t="shared" si="0"/>
        <v>2</v>
      </c>
      <c r="U13" t="s">
        <v>108</v>
      </c>
      <c r="V13">
        <v>2</v>
      </c>
      <c r="W13">
        <v>0</v>
      </c>
      <c r="X13">
        <v>0</v>
      </c>
      <c r="Y13">
        <f t="shared" si="1"/>
        <v>2</v>
      </c>
    </row>
    <row r="14" spans="1:25" x14ac:dyDescent="0.3">
      <c r="A14" t="s">
        <v>106</v>
      </c>
      <c r="B14">
        <f t="shared" si="0"/>
        <v>2</v>
      </c>
      <c r="U14" t="s">
        <v>109</v>
      </c>
      <c r="V14">
        <v>7</v>
      </c>
      <c r="W14">
        <v>3</v>
      </c>
      <c r="X14">
        <v>0</v>
      </c>
      <c r="Y14">
        <f t="shared" si="1"/>
        <v>10</v>
      </c>
    </row>
    <row r="15" spans="1:25" x14ac:dyDescent="0.3">
      <c r="A15" t="s">
        <v>119</v>
      </c>
      <c r="B15">
        <f t="shared" si="0"/>
        <v>2</v>
      </c>
      <c r="U15" t="s">
        <v>110</v>
      </c>
      <c r="V15">
        <v>0</v>
      </c>
      <c r="W15">
        <v>1</v>
      </c>
      <c r="X15">
        <v>0</v>
      </c>
      <c r="Y15">
        <f t="shared" si="1"/>
        <v>1</v>
      </c>
    </row>
    <row r="16" spans="1:25" x14ac:dyDescent="0.3">
      <c r="A16" t="s">
        <v>112</v>
      </c>
      <c r="B16">
        <f t="shared" si="0"/>
        <v>1</v>
      </c>
      <c r="U16" t="s">
        <v>111</v>
      </c>
      <c r="V16">
        <v>0</v>
      </c>
      <c r="W16">
        <v>1</v>
      </c>
      <c r="X16">
        <v>0</v>
      </c>
      <c r="Y16">
        <f t="shared" si="1"/>
        <v>1</v>
      </c>
    </row>
    <row r="17" spans="1:25" x14ac:dyDescent="0.3">
      <c r="A17" t="s">
        <v>111</v>
      </c>
      <c r="B17">
        <f t="shared" si="0"/>
        <v>1</v>
      </c>
      <c r="U17" t="s">
        <v>112</v>
      </c>
      <c r="V17">
        <v>1</v>
      </c>
      <c r="W17">
        <v>0</v>
      </c>
      <c r="X17">
        <v>0</v>
      </c>
      <c r="Y17">
        <f t="shared" si="1"/>
        <v>1</v>
      </c>
    </row>
    <row r="18" spans="1:25" x14ac:dyDescent="0.3">
      <c r="A18" t="s">
        <v>110</v>
      </c>
      <c r="B18">
        <f t="shared" si="0"/>
        <v>1</v>
      </c>
      <c r="U18" t="s">
        <v>113</v>
      </c>
      <c r="V18">
        <v>1</v>
      </c>
      <c r="W18">
        <v>1</v>
      </c>
      <c r="X18">
        <v>0</v>
      </c>
      <c r="Y18">
        <f t="shared" si="1"/>
        <v>2</v>
      </c>
    </row>
    <row r="19" spans="1:25" x14ac:dyDescent="0.3">
      <c r="A19" t="s">
        <v>107</v>
      </c>
      <c r="B19">
        <f t="shared" si="0"/>
        <v>1</v>
      </c>
      <c r="U19" t="s">
        <v>114</v>
      </c>
      <c r="V19">
        <v>0</v>
      </c>
      <c r="W19">
        <v>0</v>
      </c>
      <c r="X19">
        <v>0</v>
      </c>
      <c r="Y19">
        <f t="shared" si="1"/>
        <v>0</v>
      </c>
    </row>
    <row r="20" spans="1:25" x14ac:dyDescent="0.3">
      <c r="A20" t="s">
        <v>101</v>
      </c>
      <c r="B20">
        <f t="shared" si="0"/>
        <v>1</v>
      </c>
      <c r="U20" t="s">
        <v>115</v>
      </c>
      <c r="V20">
        <v>0</v>
      </c>
      <c r="W20">
        <v>0</v>
      </c>
      <c r="X20">
        <v>0</v>
      </c>
      <c r="Y20">
        <f t="shared" si="1"/>
        <v>0</v>
      </c>
    </row>
    <row r="21" spans="1:25" x14ac:dyDescent="0.3">
      <c r="A21" t="s">
        <v>116</v>
      </c>
      <c r="B21">
        <f t="shared" si="0"/>
        <v>0</v>
      </c>
      <c r="U21" t="s">
        <v>116</v>
      </c>
      <c r="V21">
        <v>0</v>
      </c>
      <c r="W21">
        <v>0</v>
      </c>
      <c r="X21">
        <v>0</v>
      </c>
      <c r="Y21">
        <f t="shared" si="1"/>
        <v>0</v>
      </c>
    </row>
    <row r="22" spans="1:25" x14ac:dyDescent="0.3">
      <c r="A22" t="s">
        <v>122</v>
      </c>
      <c r="B22">
        <f t="shared" si="0"/>
        <v>0</v>
      </c>
      <c r="U22" t="s">
        <v>117</v>
      </c>
      <c r="V22">
        <v>0</v>
      </c>
      <c r="W22">
        <v>0</v>
      </c>
      <c r="X22">
        <v>0</v>
      </c>
      <c r="Y22">
        <f t="shared" si="1"/>
        <v>0</v>
      </c>
    </row>
    <row r="23" spans="1:25" x14ac:dyDescent="0.3">
      <c r="A23" t="s">
        <v>115</v>
      </c>
      <c r="B23">
        <f t="shared" si="0"/>
        <v>0</v>
      </c>
      <c r="U23" t="s">
        <v>118</v>
      </c>
      <c r="V23">
        <v>0</v>
      </c>
      <c r="W23">
        <v>0</v>
      </c>
      <c r="X23">
        <v>0</v>
      </c>
      <c r="Y23">
        <f t="shared" si="1"/>
        <v>0</v>
      </c>
    </row>
    <row r="24" spans="1:25" x14ac:dyDescent="0.3">
      <c r="A24" t="s">
        <v>118</v>
      </c>
      <c r="B24">
        <f t="shared" si="0"/>
        <v>0</v>
      </c>
      <c r="U24" t="s">
        <v>119</v>
      </c>
      <c r="V24">
        <v>2</v>
      </c>
      <c r="W24">
        <v>0</v>
      </c>
      <c r="X24">
        <v>0</v>
      </c>
      <c r="Y24">
        <f t="shared" si="1"/>
        <v>2</v>
      </c>
    </row>
    <row r="25" spans="1:25" x14ac:dyDescent="0.3">
      <c r="A25" t="s">
        <v>117</v>
      </c>
      <c r="B25">
        <f t="shared" si="0"/>
        <v>0</v>
      </c>
      <c r="U25" t="s">
        <v>122</v>
      </c>
      <c r="V25">
        <v>0</v>
      </c>
      <c r="W25">
        <v>0</v>
      </c>
      <c r="X25">
        <v>0</v>
      </c>
      <c r="Y25">
        <f t="shared" si="1"/>
        <v>0</v>
      </c>
    </row>
    <row r="26" spans="1:25" x14ac:dyDescent="0.3">
      <c r="A26" t="s">
        <v>114</v>
      </c>
      <c r="B26">
        <f t="shared" si="0"/>
        <v>0</v>
      </c>
      <c r="U26" t="s">
        <v>96</v>
      </c>
      <c r="V26">
        <v>0</v>
      </c>
      <c r="W26">
        <v>0</v>
      </c>
      <c r="X26">
        <v>47</v>
      </c>
      <c r="Y26">
        <f t="shared" si="1"/>
        <v>47</v>
      </c>
    </row>
  </sheetData>
  <autoFilter ref="A1:B25" xr:uid="{B9727E7A-43A9-4AF1-9DEE-D66CFCECDAA8}">
    <sortState xmlns:xlrd2="http://schemas.microsoft.com/office/spreadsheetml/2017/richdata2" ref="A2:B26">
      <sortCondition descending="1" ref="B1:B25"/>
    </sortState>
  </autoFilter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AA33-A9E0-47F4-96D6-78BC2458DA78}">
  <dimension ref="A1:Y26"/>
  <sheetViews>
    <sheetView zoomScale="85" zoomScaleNormal="85" workbookViewId="0">
      <selection activeCell="R9" sqref="R9"/>
    </sheetView>
  </sheetViews>
  <sheetFormatPr defaultRowHeight="16.5" x14ac:dyDescent="0.3"/>
  <cols>
    <col min="3" max="4" width="15.125" bestFit="1" customWidth="1"/>
    <col min="22" max="23" width="15.125" bestFit="1" customWidth="1"/>
  </cols>
  <sheetData>
    <row r="1" spans="1:25" x14ac:dyDescent="0.3">
      <c r="A1" t="s">
        <v>0</v>
      </c>
      <c r="B1" t="s">
        <v>1</v>
      </c>
      <c r="V1" t="s">
        <v>11</v>
      </c>
      <c r="W1" t="s">
        <v>12</v>
      </c>
      <c r="X1" t="s">
        <v>96</v>
      </c>
      <c r="Y1" t="s">
        <v>121</v>
      </c>
    </row>
    <row r="2" spans="1:25" x14ac:dyDescent="0.3">
      <c r="A2" t="s">
        <v>96</v>
      </c>
      <c r="B2">
        <f t="shared" ref="B2:B26" si="0">VLOOKUP(A2,$U$2:$Y$26,5,0)</f>
        <v>29</v>
      </c>
      <c r="U2" t="s">
        <v>97</v>
      </c>
      <c r="V2">
        <v>2</v>
      </c>
      <c r="W2">
        <v>3</v>
      </c>
      <c r="X2">
        <v>0</v>
      </c>
      <c r="Y2">
        <f>V2+W2+X2</f>
        <v>5</v>
      </c>
    </row>
    <row r="3" spans="1:25" x14ac:dyDescent="0.3">
      <c r="A3" t="s">
        <v>98</v>
      </c>
      <c r="B3">
        <f t="shared" si="0"/>
        <v>13</v>
      </c>
      <c r="U3" t="s">
        <v>98</v>
      </c>
      <c r="V3">
        <v>13</v>
      </c>
      <c r="W3">
        <v>0</v>
      </c>
      <c r="X3">
        <v>0</v>
      </c>
      <c r="Y3">
        <f t="shared" ref="Y3:Y26" si="1">V3+W3+X3</f>
        <v>13</v>
      </c>
    </row>
    <row r="4" spans="1:25" x14ac:dyDescent="0.3">
      <c r="A4" t="s">
        <v>99</v>
      </c>
      <c r="B4">
        <f t="shared" si="0"/>
        <v>10</v>
      </c>
      <c r="U4" t="s">
        <v>99</v>
      </c>
      <c r="V4">
        <v>9</v>
      </c>
      <c r="W4">
        <v>1</v>
      </c>
      <c r="X4">
        <v>0</v>
      </c>
      <c r="Y4">
        <f t="shared" si="1"/>
        <v>10</v>
      </c>
    </row>
    <row r="5" spans="1:25" x14ac:dyDescent="0.3">
      <c r="A5" t="s">
        <v>105</v>
      </c>
      <c r="B5">
        <f t="shared" si="0"/>
        <v>8</v>
      </c>
      <c r="U5" t="s">
        <v>100</v>
      </c>
      <c r="V5">
        <v>2</v>
      </c>
      <c r="W5">
        <v>4</v>
      </c>
      <c r="X5">
        <v>0</v>
      </c>
      <c r="Y5">
        <f t="shared" si="1"/>
        <v>6</v>
      </c>
    </row>
    <row r="6" spans="1:25" x14ac:dyDescent="0.3">
      <c r="A6" t="s">
        <v>104</v>
      </c>
      <c r="B6">
        <f t="shared" si="0"/>
        <v>8</v>
      </c>
      <c r="U6" t="s">
        <v>101</v>
      </c>
      <c r="V6">
        <v>1</v>
      </c>
      <c r="W6">
        <v>1</v>
      </c>
      <c r="X6">
        <v>0</v>
      </c>
      <c r="Y6">
        <f t="shared" si="1"/>
        <v>2</v>
      </c>
    </row>
    <row r="7" spans="1:25" x14ac:dyDescent="0.3">
      <c r="A7" t="s">
        <v>109</v>
      </c>
      <c r="B7">
        <f t="shared" si="0"/>
        <v>7</v>
      </c>
      <c r="U7" t="s">
        <v>102</v>
      </c>
      <c r="V7">
        <v>3</v>
      </c>
      <c r="W7">
        <v>1</v>
      </c>
      <c r="X7">
        <v>0</v>
      </c>
      <c r="Y7">
        <f t="shared" si="1"/>
        <v>4</v>
      </c>
    </row>
    <row r="8" spans="1:25" x14ac:dyDescent="0.3">
      <c r="A8" t="s">
        <v>100</v>
      </c>
      <c r="B8">
        <f t="shared" si="0"/>
        <v>6</v>
      </c>
      <c r="U8" t="s">
        <v>103</v>
      </c>
      <c r="V8">
        <v>5</v>
      </c>
      <c r="W8">
        <v>0</v>
      </c>
      <c r="X8">
        <v>0</v>
      </c>
      <c r="Y8">
        <f t="shared" si="1"/>
        <v>5</v>
      </c>
    </row>
    <row r="9" spans="1:25" x14ac:dyDescent="0.3">
      <c r="A9" t="s">
        <v>108</v>
      </c>
      <c r="B9">
        <f t="shared" si="0"/>
        <v>6</v>
      </c>
      <c r="U9" t="s">
        <v>104</v>
      </c>
      <c r="V9">
        <v>8</v>
      </c>
      <c r="W9">
        <v>0</v>
      </c>
      <c r="X9">
        <v>0</v>
      </c>
      <c r="Y9">
        <f t="shared" si="1"/>
        <v>8</v>
      </c>
    </row>
    <row r="10" spans="1:25" x14ac:dyDescent="0.3">
      <c r="A10" t="s">
        <v>103</v>
      </c>
      <c r="B10">
        <f t="shared" si="0"/>
        <v>5</v>
      </c>
      <c r="U10" t="s">
        <v>105</v>
      </c>
      <c r="V10">
        <v>8</v>
      </c>
      <c r="W10">
        <v>0</v>
      </c>
      <c r="X10">
        <v>0</v>
      </c>
      <c r="Y10">
        <f t="shared" si="1"/>
        <v>8</v>
      </c>
    </row>
    <row r="11" spans="1:25" x14ac:dyDescent="0.3">
      <c r="A11" t="s">
        <v>97</v>
      </c>
      <c r="B11">
        <f t="shared" si="0"/>
        <v>5</v>
      </c>
      <c r="U11" t="s">
        <v>106</v>
      </c>
      <c r="V11">
        <v>0</v>
      </c>
      <c r="W11">
        <v>0</v>
      </c>
      <c r="X11">
        <v>0</v>
      </c>
      <c r="Y11">
        <f t="shared" si="1"/>
        <v>0</v>
      </c>
    </row>
    <row r="12" spans="1:25" x14ac:dyDescent="0.3">
      <c r="A12" t="s">
        <v>102</v>
      </c>
      <c r="B12">
        <f t="shared" si="0"/>
        <v>4</v>
      </c>
      <c r="U12" t="s">
        <v>107</v>
      </c>
      <c r="V12">
        <v>1</v>
      </c>
      <c r="W12">
        <v>1</v>
      </c>
      <c r="X12">
        <v>0</v>
      </c>
      <c r="Y12">
        <f t="shared" si="1"/>
        <v>2</v>
      </c>
    </row>
    <row r="13" spans="1:25" x14ac:dyDescent="0.3">
      <c r="A13" t="s">
        <v>107</v>
      </c>
      <c r="B13">
        <f t="shared" si="0"/>
        <v>2</v>
      </c>
      <c r="U13" t="s">
        <v>108</v>
      </c>
      <c r="V13">
        <v>6</v>
      </c>
      <c r="W13">
        <v>0</v>
      </c>
      <c r="X13">
        <v>0</v>
      </c>
      <c r="Y13">
        <f t="shared" si="1"/>
        <v>6</v>
      </c>
    </row>
    <row r="14" spans="1:25" x14ac:dyDescent="0.3">
      <c r="A14" t="s">
        <v>101</v>
      </c>
      <c r="B14">
        <f t="shared" si="0"/>
        <v>2</v>
      </c>
      <c r="U14" t="s">
        <v>109</v>
      </c>
      <c r="V14">
        <v>5</v>
      </c>
      <c r="W14">
        <v>2</v>
      </c>
      <c r="X14">
        <v>0</v>
      </c>
      <c r="Y14">
        <f t="shared" si="1"/>
        <v>7</v>
      </c>
    </row>
    <row r="15" spans="1:25" x14ac:dyDescent="0.3">
      <c r="A15" t="s">
        <v>113</v>
      </c>
      <c r="B15">
        <f t="shared" si="0"/>
        <v>1</v>
      </c>
      <c r="U15" t="s">
        <v>110</v>
      </c>
      <c r="V15">
        <v>1</v>
      </c>
      <c r="W15">
        <v>0</v>
      </c>
      <c r="X15">
        <v>0</v>
      </c>
      <c r="Y15">
        <f t="shared" si="1"/>
        <v>1</v>
      </c>
    </row>
    <row r="16" spans="1:25" x14ac:dyDescent="0.3">
      <c r="A16" t="s">
        <v>112</v>
      </c>
      <c r="B16">
        <f t="shared" si="0"/>
        <v>1</v>
      </c>
      <c r="U16" t="s">
        <v>111</v>
      </c>
      <c r="V16">
        <v>1</v>
      </c>
      <c r="W16">
        <v>0</v>
      </c>
      <c r="X16">
        <v>0</v>
      </c>
      <c r="Y16">
        <f t="shared" si="1"/>
        <v>1</v>
      </c>
    </row>
    <row r="17" spans="1:25" x14ac:dyDescent="0.3">
      <c r="A17" t="s">
        <v>111</v>
      </c>
      <c r="B17">
        <f t="shared" si="0"/>
        <v>1</v>
      </c>
      <c r="U17" t="s">
        <v>112</v>
      </c>
      <c r="V17">
        <v>1</v>
      </c>
      <c r="W17">
        <v>0</v>
      </c>
      <c r="X17">
        <v>0</v>
      </c>
      <c r="Y17">
        <f t="shared" si="1"/>
        <v>1</v>
      </c>
    </row>
    <row r="18" spans="1:25" x14ac:dyDescent="0.3">
      <c r="A18" t="s">
        <v>110</v>
      </c>
      <c r="B18">
        <f t="shared" si="0"/>
        <v>1</v>
      </c>
      <c r="U18" t="s">
        <v>113</v>
      </c>
      <c r="V18">
        <v>0</v>
      </c>
      <c r="W18">
        <v>1</v>
      </c>
      <c r="X18">
        <v>0</v>
      </c>
      <c r="Y18">
        <f t="shared" si="1"/>
        <v>1</v>
      </c>
    </row>
    <row r="19" spans="1:25" x14ac:dyDescent="0.3">
      <c r="A19" t="s">
        <v>116</v>
      </c>
      <c r="B19">
        <f t="shared" si="0"/>
        <v>1</v>
      </c>
      <c r="U19" t="s">
        <v>114</v>
      </c>
      <c r="V19">
        <v>0</v>
      </c>
      <c r="W19">
        <v>0</v>
      </c>
      <c r="X19">
        <v>0</v>
      </c>
      <c r="Y19">
        <f t="shared" si="1"/>
        <v>0</v>
      </c>
    </row>
    <row r="20" spans="1:25" x14ac:dyDescent="0.3">
      <c r="A20" t="s">
        <v>106</v>
      </c>
      <c r="B20">
        <f t="shared" si="0"/>
        <v>0</v>
      </c>
      <c r="U20" t="s">
        <v>115</v>
      </c>
      <c r="V20">
        <v>0</v>
      </c>
      <c r="W20">
        <v>0</v>
      </c>
      <c r="X20">
        <v>0</v>
      </c>
      <c r="Y20">
        <f t="shared" si="1"/>
        <v>0</v>
      </c>
    </row>
    <row r="21" spans="1:25" x14ac:dyDescent="0.3">
      <c r="A21" t="s">
        <v>119</v>
      </c>
      <c r="B21">
        <f t="shared" si="0"/>
        <v>0</v>
      </c>
      <c r="U21" t="s">
        <v>116</v>
      </c>
      <c r="V21">
        <v>0</v>
      </c>
      <c r="W21">
        <v>1</v>
      </c>
      <c r="X21">
        <v>0</v>
      </c>
      <c r="Y21">
        <f t="shared" si="1"/>
        <v>1</v>
      </c>
    </row>
    <row r="22" spans="1:25" x14ac:dyDescent="0.3">
      <c r="A22" t="s">
        <v>122</v>
      </c>
      <c r="B22">
        <f t="shared" si="0"/>
        <v>0</v>
      </c>
      <c r="U22" t="s">
        <v>117</v>
      </c>
      <c r="V22">
        <v>0</v>
      </c>
      <c r="W22">
        <v>0</v>
      </c>
      <c r="X22">
        <v>0</v>
      </c>
      <c r="Y22">
        <f t="shared" si="1"/>
        <v>0</v>
      </c>
    </row>
    <row r="23" spans="1:25" x14ac:dyDescent="0.3">
      <c r="A23" t="s">
        <v>115</v>
      </c>
      <c r="B23">
        <f t="shared" si="0"/>
        <v>0</v>
      </c>
      <c r="U23" t="s">
        <v>118</v>
      </c>
      <c r="V23">
        <v>0</v>
      </c>
      <c r="W23">
        <v>0</v>
      </c>
      <c r="X23">
        <v>0</v>
      </c>
      <c r="Y23">
        <f t="shared" si="1"/>
        <v>0</v>
      </c>
    </row>
    <row r="24" spans="1:25" x14ac:dyDescent="0.3">
      <c r="A24" t="s">
        <v>118</v>
      </c>
      <c r="B24">
        <f t="shared" si="0"/>
        <v>0</v>
      </c>
      <c r="U24" t="s">
        <v>119</v>
      </c>
      <c r="V24">
        <v>0</v>
      </c>
      <c r="W24">
        <v>0</v>
      </c>
      <c r="X24">
        <v>0</v>
      </c>
      <c r="Y24">
        <f t="shared" si="1"/>
        <v>0</v>
      </c>
    </row>
    <row r="25" spans="1:25" x14ac:dyDescent="0.3">
      <c r="A25" t="s">
        <v>117</v>
      </c>
      <c r="B25">
        <f t="shared" si="0"/>
        <v>0</v>
      </c>
      <c r="U25" t="s">
        <v>122</v>
      </c>
      <c r="V25">
        <v>0</v>
      </c>
      <c r="W25">
        <v>0</v>
      </c>
      <c r="X25">
        <v>0</v>
      </c>
      <c r="Y25">
        <f t="shared" si="1"/>
        <v>0</v>
      </c>
    </row>
    <row r="26" spans="1:25" x14ac:dyDescent="0.3">
      <c r="A26" t="s">
        <v>114</v>
      </c>
      <c r="B26">
        <f t="shared" si="0"/>
        <v>0</v>
      </c>
      <c r="U26" t="s">
        <v>96</v>
      </c>
      <c r="V26">
        <v>0</v>
      </c>
      <c r="W26">
        <v>0</v>
      </c>
      <c r="X26">
        <v>29</v>
      </c>
      <c r="Y26">
        <f t="shared" si="1"/>
        <v>29</v>
      </c>
    </row>
  </sheetData>
  <autoFilter ref="A1:B25" xr:uid="{B9727E7A-43A9-4AF1-9DEE-D66CFCECDAA8}">
    <sortState xmlns:xlrd2="http://schemas.microsoft.com/office/spreadsheetml/2017/richdata2" ref="A2:B26">
      <sortCondition descending="1" ref="B1:B25"/>
    </sortState>
  </autoFilter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2E33-4782-40CF-9782-F68019149659}">
  <dimension ref="A1:Y26"/>
  <sheetViews>
    <sheetView topLeftCell="A16" zoomScaleNormal="100" workbookViewId="0">
      <selection activeCell="T45" sqref="T45"/>
    </sheetView>
  </sheetViews>
  <sheetFormatPr defaultRowHeight="16.5" x14ac:dyDescent="0.3"/>
  <cols>
    <col min="3" max="4" width="15.125" bestFit="1" customWidth="1"/>
    <col min="22" max="23" width="15.125" bestFit="1" customWidth="1"/>
  </cols>
  <sheetData>
    <row r="1" spans="1:25" x14ac:dyDescent="0.3">
      <c r="A1" t="s">
        <v>0</v>
      </c>
      <c r="B1" t="s">
        <v>1</v>
      </c>
      <c r="V1" t="s">
        <v>11</v>
      </c>
      <c r="W1" t="s">
        <v>12</v>
      </c>
      <c r="X1" t="s">
        <v>96</v>
      </c>
      <c r="Y1" t="s">
        <v>121</v>
      </c>
    </row>
    <row r="2" spans="1:25" x14ac:dyDescent="0.3">
      <c r="A2" t="s">
        <v>96</v>
      </c>
      <c r="B2">
        <f t="shared" ref="B2:B26" si="0">VLOOKUP(A2,$U$2:$Y$26,5,0)</f>
        <v>57</v>
      </c>
      <c r="U2" t="s">
        <v>97</v>
      </c>
      <c r="V2">
        <v>14</v>
      </c>
      <c r="W2">
        <v>0</v>
      </c>
      <c r="X2">
        <v>0</v>
      </c>
      <c r="Y2">
        <f>V2+W2+X2</f>
        <v>14</v>
      </c>
    </row>
    <row r="3" spans="1:25" x14ac:dyDescent="0.3">
      <c r="A3" t="s">
        <v>99</v>
      </c>
      <c r="B3">
        <f t="shared" si="0"/>
        <v>21</v>
      </c>
      <c r="U3" t="s">
        <v>98</v>
      </c>
      <c r="V3">
        <v>13</v>
      </c>
      <c r="W3">
        <v>2</v>
      </c>
      <c r="X3">
        <v>0</v>
      </c>
      <c r="Y3">
        <f t="shared" ref="Y3:Y26" si="1">V3+W3+X3</f>
        <v>15</v>
      </c>
    </row>
    <row r="4" spans="1:25" x14ac:dyDescent="0.3">
      <c r="A4" t="s">
        <v>98</v>
      </c>
      <c r="B4">
        <f t="shared" si="0"/>
        <v>15</v>
      </c>
      <c r="U4" t="s">
        <v>99</v>
      </c>
      <c r="V4">
        <v>14</v>
      </c>
      <c r="W4">
        <v>7</v>
      </c>
      <c r="X4">
        <v>0</v>
      </c>
      <c r="Y4">
        <f t="shared" si="1"/>
        <v>21</v>
      </c>
    </row>
    <row r="5" spans="1:25" x14ac:dyDescent="0.3">
      <c r="A5" t="s">
        <v>97</v>
      </c>
      <c r="B5">
        <f t="shared" si="0"/>
        <v>14</v>
      </c>
      <c r="U5" t="s">
        <v>100</v>
      </c>
      <c r="V5">
        <v>6</v>
      </c>
      <c r="W5">
        <v>2</v>
      </c>
      <c r="X5">
        <v>0</v>
      </c>
      <c r="Y5">
        <f t="shared" si="1"/>
        <v>8</v>
      </c>
    </row>
    <row r="6" spans="1:25" x14ac:dyDescent="0.3">
      <c r="A6" t="s">
        <v>103</v>
      </c>
      <c r="B6">
        <f t="shared" si="0"/>
        <v>13</v>
      </c>
      <c r="U6" t="s">
        <v>101</v>
      </c>
      <c r="V6">
        <v>1</v>
      </c>
      <c r="W6">
        <v>2</v>
      </c>
      <c r="X6">
        <v>0</v>
      </c>
      <c r="Y6">
        <f t="shared" si="1"/>
        <v>3</v>
      </c>
    </row>
    <row r="7" spans="1:25" x14ac:dyDescent="0.3">
      <c r="A7" t="s">
        <v>110</v>
      </c>
      <c r="B7">
        <f t="shared" si="0"/>
        <v>9</v>
      </c>
      <c r="U7" t="s">
        <v>102</v>
      </c>
      <c r="V7">
        <v>4</v>
      </c>
      <c r="W7">
        <v>0</v>
      </c>
      <c r="X7">
        <v>0</v>
      </c>
      <c r="Y7">
        <f t="shared" si="1"/>
        <v>4</v>
      </c>
    </row>
    <row r="8" spans="1:25" x14ac:dyDescent="0.3">
      <c r="A8" t="s">
        <v>100</v>
      </c>
      <c r="B8">
        <f t="shared" si="0"/>
        <v>8</v>
      </c>
      <c r="U8" t="s">
        <v>103</v>
      </c>
      <c r="V8">
        <v>13</v>
      </c>
      <c r="W8">
        <v>0</v>
      </c>
      <c r="X8">
        <v>0</v>
      </c>
      <c r="Y8">
        <f t="shared" si="1"/>
        <v>13</v>
      </c>
    </row>
    <row r="9" spans="1:25" x14ac:dyDescent="0.3">
      <c r="A9" t="s">
        <v>109</v>
      </c>
      <c r="B9">
        <f t="shared" si="0"/>
        <v>6</v>
      </c>
      <c r="U9" t="s">
        <v>104</v>
      </c>
      <c r="V9">
        <v>3</v>
      </c>
      <c r="W9">
        <v>0</v>
      </c>
      <c r="X9">
        <v>0</v>
      </c>
      <c r="Y9">
        <f t="shared" si="1"/>
        <v>3</v>
      </c>
    </row>
    <row r="10" spans="1:25" x14ac:dyDescent="0.3">
      <c r="A10" t="s">
        <v>105</v>
      </c>
      <c r="B10">
        <f t="shared" si="0"/>
        <v>4</v>
      </c>
      <c r="U10" t="s">
        <v>105</v>
      </c>
      <c r="V10">
        <v>4</v>
      </c>
      <c r="W10">
        <v>0</v>
      </c>
      <c r="X10">
        <v>0</v>
      </c>
      <c r="Y10">
        <f t="shared" si="1"/>
        <v>4</v>
      </c>
    </row>
    <row r="11" spans="1:25" x14ac:dyDescent="0.3">
      <c r="A11" t="s">
        <v>102</v>
      </c>
      <c r="B11">
        <f t="shared" si="0"/>
        <v>4</v>
      </c>
      <c r="U11" t="s">
        <v>106</v>
      </c>
      <c r="V11">
        <v>0</v>
      </c>
      <c r="W11">
        <v>0</v>
      </c>
      <c r="X11">
        <v>0</v>
      </c>
      <c r="Y11">
        <f t="shared" si="1"/>
        <v>0</v>
      </c>
    </row>
    <row r="12" spans="1:25" x14ac:dyDescent="0.3">
      <c r="A12" t="s">
        <v>104</v>
      </c>
      <c r="B12">
        <f t="shared" si="0"/>
        <v>3</v>
      </c>
      <c r="U12" t="s">
        <v>107</v>
      </c>
      <c r="V12">
        <v>1</v>
      </c>
      <c r="W12">
        <v>0</v>
      </c>
      <c r="X12">
        <v>0</v>
      </c>
      <c r="Y12">
        <f t="shared" si="1"/>
        <v>1</v>
      </c>
    </row>
    <row r="13" spans="1:25" x14ac:dyDescent="0.3">
      <c r="A13" t="s">
        <v>101</v>
      </c>
      <c r="B13">
        <f t="shared" si="0"/>
        <v>3</v>
      </c>
      <c r="U13" t="s">
        <v>108</v>
      </c>
      <c r="V13">
        <v>2</v>
      </c>
      <c r="W13">
        <v>0</v>
      </c>
      <c r="X13">
        <v>0</v>
      </c>
      <c r="Y13">
        <f t="shared" si="1"/>
        <v>2</v>
      </c>
    </row>
    <row r="14" spans="1:25" x14ac:dyDescent="0.3">
      <c r="A14" t="s">
        <v>122</v>
      </c>
      <c r="B14">
        <f t="shared" si="0"/>
        <v>3</v>
      </c>
      <c r="U14" t="s">
        <v>109</v>
      </c>
      <c r="V14">
        <v>5</v>
      </c>
      <c r="W14">
        <v>1</v>
      </c>
      <c r="X14">
        <v>0</v>
      </c>
      <c r="Y14">
        <f t="shared" si="1"/>
        <v>6</v>
      </c>
    </row>
    <row r="15" spans="1:25" x14ac:dyDescent="0.3">
      <c r="A15" t="s">
        <v>108</v>
      </c>
      <c r="B15">
        <f t="shared" si="0"/>
        <v>2</v>
      </c>
      <c r="U15" t="s">
        <v>110</v>
      </c>
      <c r="V15">
        <v>4</v>
      </c>
      <c r="W15">
        <v>5</v>
      </c>
      <c r="X15">
        <v>0</v>
      </c>
      <c r="Y15">
        <f t="shared" si="1"/>
        <v>9</v>
      </c>
    </row>
    <row r="16" spans="1:25" x14ac:dyDescent="0.3">
      <c r="A16" t="s">
        <v>112</v>
      </c>
      <c r="B16">
        <f t="shared" si="0"/>
        <v>2</v>
      </c>
      <c r="U16" t="s">
        <v>111</v>
      </c>
      <c r="V16">
        <v>1</v>
      </c>
      <c r="W16">
        <v>1</v>
      </c>
      <c r="X16">
        <v>0</v>
      </c>
      <c r="Y16">
        <f t="shared" si="1"/>
        <v>2</v>
      </c>
    </row>
    <row r="17" spans="1:25" x14ac:dyDescent="0.3">
      <c r="A17" t="s">
        <v>111</v>
      </c>
      <c r="B17">
        <f t="shared" si="0"/>
        <v>2</v>
      </c>
      <c r="U17" t="s">
        <v>112</v>
      </c>
      <c r="V17">
        <v>0</v>
      </c>
      <c r="W17">
        <v>2</v>
      </c>
      <c r="X17">
        <v>0</v>
      </c>
      <c r="Y17">
        <f t="shared" si="1"/>
        <v>2</v>
      </c>
    </row>
    <row r="18" spans="1:25" x14ac:dyDescent="0.3">
      <c r="A18" t="s">
        <v>115</v>
      </c>
      <c r="B18">
        <f t="shared" si="0"/>
        <v>2</v>
      </c>
      <c r="U18" t="s">
        <v>113</v>
      </c>
      <c r="V18">
        <v>1</v>
      </c>
      <c r="W18">
        <v>0</v>
      </c>
      <c r="X18">
        <v>0</v>
      </c>
      <c r="Y18">
        <f t="shared" si="1"/>
        <v>1</v>
      </c>
    </row>
    <row r="19" spans="1:25" x14ac:dyDescent="0.3">
      <c r="A19" t="s">
        <v>107</v>
      </c>
      <c r="B19">
        <f t="shared" si="0"/>
        <v>1</v>
      </c>
      <c r="U19" t="s">
        <v>114</v>
      </c>
      <c r="V19">
        <v>0</v>
      </c>
      <c r="W19">
        <v>0</v>
      </c>
      <c r="X19">
        <v>0</v>
      </c>
      <c r="Y19">
        <f t="shared" si="1"/>
        <v>0</v>
      </c>
    </row>
    <row r="20" spans="1:25" x14ac:dyDescent="0.3">
      <c r="A20" t="s">
        <v>113</v>
      </c>
      <c r="B20">
        <f t="shared" si="0"/>
        <v>1</v>
      </c>
      <c r="U20" t="s">
        <v>115</v>
      </c>
      <c r="V20">
        <v>2</v>
      </c>
      <c r="W20">
        <v>0</v>
      </c>
      <c r="X20">
        <v>0</v>
      </c>
      <c r="Y20">
        <f t="shared" si="1"/>
        <v>2</v>
      </c>
    </row>
    <row r="21" spans="1:25" x14ac:dyDescent="0.3">
      <c r="A21" t="s">
        <v>118</v>
      </c>
      <c r="B21">
        <f t="shared" si="0"/>
        <v>1</v>
      </c>
      <c r="U21" t="s">
        <v>116</v>
      </c>
      <c r="V21">
        <v>0</v>
      </c>
      <c r="W21">
        <v>0</v>
      </c>
      <c r="X21">
        <v>0</v>
      </c>
      <c r="Y21">
        <f t="shared" si="1"/>
        <v>0</v>
      </c>
    </row>
    <row r="22" spans="1:25" x14ac:dyDescent="0.3">
      <c r="A22" t="s">
        <v>117</v>
      </c>
      <c r="B22">
        <f t="shared" si="0"/>
        <v>1</v>
      </c>
      <c r="U22" t="s">
        <v>117</v>
      </c>
      <c r="V22">
        <v>0</v>
      </c>
      <c r="W22">
        <v>1</v>
      </c>
      <c r="X22">
        <v>0</v>
      </c>
      <c r="Y22">
        <f t="shared" si="1"/>
        <v>1</v>
      </c>
    </row>
    <row r="23" spans="1:25" x14ac:dyDescent="0.3">
      <c r="A23" t="s">
        <v>116</v>
      </c>
      <c r="B23">
        <f t="shared" si="0"/>
        <v>0</v>
      </c>
      <c r="U23" t="s">
        <v>118</v>
      </c>
      <c r="V23">
        <v>1</v>
      </c>
      <c r="W23">
        <v>0</v>
      </c>
      <c r="X23">
        <v>0</v>
      </c>
      <c r="Y23">
        <f t="shared" si="1"/>
        <v>1</v>
      </c>
    </row>
    <row r="24" spans="1:25" x14ac:dyDescent="0.3">
      <c r="A24" t="s">
        <v>106</v>
      </c>
      <c r="B24">
        <f t="shared" si="0"/>
        <v>0</v>
      </c>
      <c r="U24" t="s">
        <v>119</v>
      </c>
      <c r="V24">
        <v>0</v>
      </c>
      <c r="W24">
        <v>0</v>
      </c>
      <c r="X24">
        <v>0</v>
      </c>
      <c r="Y24">
        <f t="shared" si="1"/>
        <v>0</v>
      </c>
    </row>
    <row r="25" spans="1:25" x14ac:dyDescent="0.3">
      <c r="A25" t="s">
        <v>119</v>
      </c>
      <c r="B25">
        <f t="shared" si="0"/>
        <v>0</v>
      </c>
      <c r="U25" t="s">
        <v>122</v>
      </c>
      <c r="V25">
        <v>0</v>
      </c>
      <c r="W25">
        <v>3</v>
      </c>
      <c r="X25">
        <v>0</v>
      </c>
      <c r="Y25">
        <f t="shared" si="1"/>
        <v>3</v>
      </c>
    </row>
    <row r="26" spans="1:25" x14ac:dyDescent="0.3">
      <c r="A26" t="s">
        <v>114</v>
      </c>
      <c r="B26">
        <f t="shared" si="0"/>
        <v>0</v>
      </c>
      <c r="U26" t="s">
        <v>96</v>
      </c>
      <c r="V26">
        <v>0</v>
      </c>
      <c r="W26">
        <v>0</v>
      </c>
      <c r="X26">
        <v>57</v>
      </c>
      <c r="Y26">
        <f t="shared" si="1"/>
        <v>57</v>
      </c>
    </row>
  </sheetData>
  <autoFilter ref="A1:B25" xr:uid="{B9727E7A-43A9-4AF1-9DEE-D66CFCECDAA8}">
    <sortState xmlns:xlrd2="http://schemas.microsoft.com/office/spreadsheetml/2017/richdata2" ref="A2:B26">
      <sortCondition descending="1" ref="B1:B25"/>
    </sortState>
  </autoFilter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FEFA-5034-4D21-8B66-EFD930913245}">
  <dimension ref="A1:Y26"/>
  <sheetViews>
    <sheetView zoomScaleNormal="100" workbookViewId="0">
      <selection activeCell="F25" sqref="F25"/>
    </sheetView>
  </sheetViews>
  <sheetFormatPr defaultRowHeight="16.5" x14ac:dyDescent="0.3"/>
  <cols>
    <col min="3" max="4" width="15.125" bestFit="1" customWidth="1"/>
    <col min="22" max="23" width="15.125" bestFit="1" customWidth="1"/>
  </cols>
  <sheetData>
    <row r="1" spans="1:25" x14ac:dyDescent="0.3">
      <c r="A1" t="s">
        <v>0</v>
      </c>
      <c r="B1" t="s">
        <v>1</v>
      </c>
      <c r="V1" t="s">
        <v>11</v>
      </c>
      <c r="W1" t="s">
        <v>12</v>
      </c>
      <c r="X1" t="s">
        <v>96</v>
      </c>
      <c r="Y1" t="s">
        <v>121</v>
      </c>
    </row>
    <row r="2" spans="1:25" x14ac:dyDescent="0.3">
      <c r="A2" t="s">
        <v>96</v>
      </c>
      <c r="B2">
        <f t="shared" ref="B2:B26" si="0">VLOOKUP(A2,$U$2:$Y$26,5,0)</f>
        <v>41</v>
      </c>
      <c r="U2" t="s">
        <v>97</v>
      </c>
      <c r="V2">
        <v>5</v>
      </c>
      <c r="W2">
        <v>1</v>
      </c>
      <c r="Y2">
        <f>V2+W2+X2</f>
        <v>6</v>
      </c>
    </row>
    <row r="3" spans="1:25" x14ac:dyDescent="0.3">
      <c r="A3" t="s">
        <v>98</v>
      </c>
      <c r="B3">
        <f t="shared" si="0"/>
        <v>20</v>
      </c>
      <c r="U3" t="s">
        <v>98</v>
      </c>
      <c r="V3">
        <v>16</v>
      </c>
      <c r="W3">
        <v>4</v>
      </c>
      <c r="Y3">
        <f t="shared" ref="Y3:Y26" si="1">V3+W3+X3</f>
        <v>20</v>
      </c>
    </row>
    <row r="4" spans="1:25" x14ac:dyDescent="0.3">
      <c r="A4" t="s">
        <v>100</v>
      </c>
      <c r="B4">
        <f t="shared" si="0"/>
        <v>12</v>
      </c>
      <c r="U4" t="s">
        <v>99</v>
      </c>
      <c r="V4">
        <v>5</v>
      </c>
      <c r="W4">
        <v>3</v>
      </c>
      <c r="Y4">
        <f t="shared" si="1"/>
        <v>8</v>
      </c>
    </row>
    <row r="5" spans="1:25" x14ac:dyDescent="0.3">
      <c r="A5" t="s">
        <v>103</v>
      </c>
      <c r="B5">
        <f t="shared" si="0"/>
        <v>11</v>
      </c>
      <c r="U5" t="s">
        <v>100</v>
      </c>
      <c r="V5">
        <v>8</v>
      </c>
      <c r="W5">
        <v>4</v>
      </c>
      <c r="Y5">
        <f t="shared" si="1"/>
        <v>12</v>
      </c>
    </row>
    <row r="6" spans="1:25" x14ac:dyDescent="0.3">
      <c r="A6" t="s">
        <v>99</v>
      </c>
      <c r="B6">
        <f t="shared" si="0"/>
        <v>8</v>
      </c>
      <c r="U6" t="s">
        <v>101</v>
      </c>
      <c r="V6">
        <v>4</v>
      </c>
      <c r="W6">
        <v>2</v>
      </c>
      <c r="Y6">
        <f t="shared" si="1"/>
        <v>6</v>
      </c>
    </row>
    <row r="7" spans="1:25" x14ac:dyDescent="0.3">
      <c r="A7" t="s">
        <v>109</v>
      </c>
      <c r="B7">
        <f t="shared" si="0"/>
        <v>7</v>
      </c>
      <c r="U7" t="s">
        <v>102</v>
      </c>
      <c r="V7">
        <v>5</v>
      </c>
      <c r="W7">
        <v>2</v>
      </c>
      <c r="Y7">
        <f t="shared" si="1"/>
        <v>7</v>
      </c>
    </row>
    <row r="8" spans="1:25" x14ac:dyDescent="0.3">
      <c r="A8" t="s">
        <v>102</v>
      </c>
      <c r="B8">
        <f t="shared" si="0"/>
        <v>7</v>
      </c>
      <c r="U8" t="s">
        <v>103</v>
      </c>
      <c r="V8">
        <v>11</v>
      </c>
      <c r="W8">
        <v>0</v>
      </c>
      <c r="Y8">
        <f t="shared" si="1"/>
        <v>11</v>
      </c>
    </row>
    <row r="9" spans="1:25" x14ac:dyDescent="0.3">
      <c r="A9" t="s">
        <v>97</v>
      </c>
      <c r="B9">
        <f t="shared" si="0"/>
        <v>6</v>
      </c>
      <c r="U9" t="s">
        <v>104</v>
      </c>
      <c r="V9">
        <v>2</v>
      </c>
      <c r="W9">
        <v>0</v>
      </c>
      <c r="Y9">
        <f t="shared" si="1"/>
        <v>2</v>
      </c>
    </row>
    <row r="10" spans="1:25" x14ac:dyDescent="0.3">
      <c r="A10" t="s">
        <v>101</v>
      </c>
      <c r="B10">
        <f t="shared" si="0"/>
        <v>6</v>
      </c>
      <c r="U10" t="s">
        <v>105</v>
      </c>
      <c r="V10">
        <v>4</v>
      </c>
      <c r="W10">
        <v>0</v>
      </c>
      <c r="Y10">
        <f t="shared" si="1"/>
        <v>4</v>
      </c>
    </row>
    <row r="11" spans="1:25" x14ac:dyDescent="0.3">
      <c r="A11" t="s">
        <v>105</v>
      </c>
      <c r="B11">
        <f t="shared" si="0"/>
        <v>4</v>
      </c>
      <c r="U11" t="s">
        <v>106</v>
      </c>
      <c r="V11">
        <v>1</v>
      </c>
      <c r="W11">
        <v>0</v>
      </c>
      <c r="Y11">
        <f t="shared" si="1"/>
        <v>1</v>
      </c>
    </row>
    <row r="12" spans="1:25" x14ac:dyDescent="0.3">
      <c r="A12" t="s">
        <v>110</v>
      </c>
      <c r="B12">
        <f t="shared" si="0"/>
        <v>3</v>
      </c>
      <c r="U12" t="s">
        <v>107</v>
      </c>
      <c r="V12">
        <v>2</v>
      </c>
      <c r="W12">
        <v>0</v>
      </c>
      <c r="Y12">
        <f t="shared" si="1"/>
        <v>2</v>
      </c>
    </row>
    <row r="13" spans="1:25" x14ac:dyDescent="0.3">
      <c r="A13" t="s">
        <v>111</v>
      </c>
      <c r="B13">
        <f t="shared" si="0"/>
        <v>3</v>
      </c>
      <c r="U13" t="s">
        <v>108</v>
      </c>
      <c r="V13">
        <v>1</v>
      </c>
      <c r="W13">
        <v>0</v>
      </c>
      <c r="Y13">
        <f t="shared" si="1"/>
        <v>1</v>
      </c>
    </row>
    <row r="14" spans="1:25" x14ac:dyDescent="0.3">
      <c r="A14" t="s">
        <v>113</v>
      </c>
      <c r="B14">
        <f t="shared" si="0"/>
        <v>3</v>
      </c>
      <c r="U14" t="s">
        <v>109</v>
      </c>
      <c r="V14">
        <v>5</v>
      </c>
      <c r="W14">
        <v>2</v>
      </c>
      <c r="Y14">
        <f t="shared" si="1"/>
        <v>7</v>
      </c>
    </row>
    <row r="15" spans="1:25" x14ac:dyDescent="0.3">
      <c r="A15" t="s">
        <v>104</v>
      </c>
      <c r="B15">
        <f t="shared" si="0"/>
        <v>2</v>
      </c>
      <c r="U15" t="s">
        <v>110</v>
      </c>
      <c r="V15">
        <v>3</v>
      </c>
      <c r="W15">
        <v>0</v>
      </c>
      <c r="Y15">
        <f t="shared" si="1"/>
        <v>3</v>
      </c>
    </row>
    <row r="16" spans="1:25" x14ac:dyDescent="0.3">
      <c r="A16" t="s">
        <v>107</v>
      </c>
      <c r="B16">
        <f t="shared" si="0"/>
        <v>2</v>
      </c>
      <c r="U16" t="s">
        <v>111</v>
      </c>
      <c r="V16">
        <v>2</v>
      </c>
      <c r="W16">
        <v>1</v>
      </c>
      <c r="Y16">
        <f t="shared" si="1"/>
        <v>3</v>
      </c>
    </row>
    <row r="17" spans="1:25" x14ac:dyDescent="0.3">
      <c r="A17" t="s">
        <v>108</v>
      </c>
      <c r="B17">
        <f t="shared" si="0"/>
        <v>1</v>
      </c>
      <c r="U17" t="s">
        <v>112</v>
      </c>
      <c r="V17">
        <v>0</v>
      </c>
      <c r="W17">
        <v>0</v>
      </c>
      <c r="Y17">
        <f t="shared" si="1"/>
        <v>0</v>
      </c>
    </row>
    <row r="18" spans="1:25" x14ac:dyDescent="0.3">
      <c r="A18" t="s">
        <v>118</v>
      </c>
      <c r="B18">
        <f t="shared" si="0"/>
        <v>1</v>
      </c>
      <c r="U18" t="s">
        <v>113</v>
      </c>
      <c r="V18">
        <v>2</v>
      </c>
      <c r="W18">
        <v>1</v>
      </c>
      <c r="Y18">
        <f t="shared" si="1"/>
        <v>3</v>
      </c>
    </row>
    <row r="19" spans="1:25" x14ac:dyDescent="0.3">
      <c r="A19" t="s">
        <v>116</v>
      </c>
      <c r="B19">
        <f t="shared" si="0"/>
        <v>1</v>
      </c>
      <c r="U19" t="s">
        <v>114</v>
      </c>
      <c r="V19">
        <v>0</v>
      </c>
      <c r="W19">
        <v>0</v>
      </c>
      <c r="Y19">
        <f t="shared" si="1"/>
        <v>0</v>
      </c>
    </row>
    <row r="20" spans="1:25" x14ac:dyDescent="0.3">
      <c r="A20" t="s">
        <v>106</v>
      </c>
      <c r="B20">
        <f t="shared" si="0"/>
        <v>1</v>
      </c>
      <c r="U20" t="s">
        <v>115</v>
      </c>
      <c r="V20">
        <v>0</v>
      </c>
      <c r="W20">
        <v>0</v>
      </c>
      <c r="Y20">
        <f t="shared" si="1"/>
        <v>0</v>
      </c>
    </row>
    <row r="21" spans="1:25" x14ac:dyDescent="0.3">
      <c r="A21" t="s">
        <v>119</v>
      </c>
      <c r="B21">
        <f t="shared" si="0"/>
        <v>1</v>
      </c>
      <c r="U21" t="s">
        <v>116</v>
      </c>
      <c r="V21">
        <v>1</v>
      </c>
      <c r="W21">
        <v>0</v>
      </c>
      <c r="Y21">
        <f t="shared" si="1"/>
        <v>1</v>
      </c>
    </row>
    <row r="22" spans="1:25" x14ac:dyDescent="0.3">
      <c r="A22" t="s">
        <v>122</v>
      </c>
      <c r="B22">
        <f t="shared" si="0"/>
        <v>0</v>
      </c>
      <c r="U22" t="s">
        <v>117</v>
      </c>
      <c r="V22">
        <v>0</v>
      </c>
      <c r="W22">
        <v>0</v>
      </c>
      <c r="Y22">
        <f t="shared" si="1"/>
        <v>0</v>
      </c>
    </row>
    <row r="23" spans="1:25" x14ac:dyDescent="0.3">
      <c r="A23" t="s">
        <v>112</v>
      </c>
      <c r="B23">
        <f t="shared" si="0"/>
        <v>0</v>
      </c>
      <c r="U23" t="s">
        <v>118</v>
      </c>
      <c r="V23">
        <v>1</v>
      </c>
      <c r="W23">
        <v>0</v>
      </c>
      <c r="Y23">
        <f t="shared" si="1"/>
        <v>1</v>
      </c>
    </row>
    <row r="24" spans="1:25" x14ac:dyDescent="0.3">
      <c r="A24" t="s">
        <v>115</v>
      </c>
      <c r="B24">
        <f t="shared" si="0"/>
        <v>0</v>
      </c>
      <c r="U24" t="s">
        <v>119</v>
      </c>
      <c r="V24">
        <v>1</v>
      </c>
      <c r="W24">
        <v>0</v>
      </c>
      <c r="Y24">
        <f t="shared" si="1"/>
        <v>1</v>
      </c>
    </row>
    <row r="25" spans="1:25" x14ac:dyDescent="0.3">
      <c r="A25" t="s">
        <v>117</v>
      </c>
      <c r="B25">
        <f t="shared" si="0"/>
        <v>0</v>
      </c>
      <c r="U25" t="s">
        <v>122</v>
      </c>
      <c r="V25">
        <v>0</v>
      </c>
      <c r="W25">
        <v>0</v>
      </c>
      <c r="Y25">
        <f t="shared" si="1"/>
        <v>0</v>
      </c>
    </row>
    <row r="26" spans="1:25" x14ac:dyDescent="0.3">
      <c r="A26" t="s">
        <v>114</v>
      </c>
      <c r="B26">
        <f t="shared" si="0"/>
        <v>0</v>
      </c>
      <c r="U26" t="s">
        <v>96</v>
      </c>
      <c r="V26">
        <v>0</v>
      </c>
      <c r="W26">
        <v>0</v>
      </c>
      <c r="X26">
        <v>41</v>
      </c>
      <c r="Y26">
        <f t="shared" si="1"/>
        <v>41</v>
      </c>
    </row>
  </sheetData>
  <autoFilter ref="A1:B25" xr:uid="{B9727E7A-43A9-4AF1-9DEE-D66CFCECDAA8}">
    <sortState xmlns:xlrd2="http://schemas.microsoft.com/office/spreadsheetml/2017/richdata2" ref="A2:B26">
      <sortCondition descending="1" ref="B1:B25"/>
    </sortState>
  </autoFilter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93374-7386-4241-8DA5-8A80262050B5}">
  <dimension ref="A1:Y27"/>
  <sheetViews>
    <sheetView topLeftCell="A37" zoomScaleNormal="100" workbookViewId="0">
      <selection activeCell="M50" sqref="M50"/>
    </sheetView>
  </sheetViews>
  <sheetFormatPr defaultRowHeight="16.5" x14ac:dyDescent="0.3"/>
  <cols>
    <col min="3" max="4" width="15.125" bestFit="1" customWidth="1"/>
    <col min="22" max="23" width="15.125" bestFit="1" customWidth="1"/>
  </cols>
  <sheetData>
    <row r="1" spans="1:25" x14ac:dyDescent="0.3">
      <c r="A1" t="s">
        <v>0</v>
      </c>
      <c r="B1" t="s">
        <v>1</v>
      </c>
      <c r="V1" t="s">
        <v>11</v>
      </c>
      <c r="W1" t="s">
        <v>12</v>
      </c>
      <c r="X1" t="s">
        <v>96</v>
      </c>
      <c r="Y1" t="s">
        <v>121</v>
      </c>
    </row>
    <row r="2" spans="1:25" x14ac:dyDescent="0.3">
      <c r="A2" t="s">
        <v>96</v>
      </c>
      <c r="B2">
        <f t="shared" ref="B2:B27" si="0">VLOOKUP(A2,$U$2:$Y$27,5,0)</f>
        <v>49</v>
      </c>
      <c r="U2" t="s">
        <v>97</v>
      </c>
      <c r="V2">
        <v>0</v>
      </c>
      <c r="W2">
        <v>8</v>
      </c>
      <c r="Y2">
        <f>V2+W2+X2</f>
        <v>8</v>
      </c>
    </row>
    <row r="3" spans="1:25" x14ac:dyDescent="0.3">
      <c r="A3" t="s">
        <v>98</v>
      </c>
      <c r="B3">
        <f t="shared" si="0"/>
        <v>21</v>
      </c>
      <c r="U3" t="s">
        <v>98</v>
      </c>
      <c r="V3">
        <v>19</v>
      </c>
      <c r="W3">
        <v>2</v>
      </c>
      <c r="Y3">
        <f t="shared" ref="Y3:Y26" si="1">V3+W3+X3</f>
        <v>21</v>
      </c>
    </row>
    <row r="4" spans="1:25" x14ac:dyDescent="0.3">
      <c r="A4" t="s">
        <v>103</v>
      </c>
      <c r="B4">
        <f t="shared" si="0"/>
        <v>14</v>
      </c>
      <c r="U4" t="s">
        <v>99</v>
      </c>
      <c r="V4">
        <v>12</v>
      </c>
      <c r="W4">
        <v>1</v>
      </c>
      <c r="Y4">
        <f t="shared" si="1"/>
        <v>13</v>
      </c>
    </row>
    <row r="5" spans="1:25" x14ac:dyDescent="0.3">
      <c r="A5" t="s">
        <v>99</v>
      </c>
      <c r="B5">
        <f t="shared" si="0"/>
        <v>13</v>
      </c>
      <c r="U5" t="s">
        <v>100</v>
      </c>
      <c r="V5">
        <v>8</v>
      </c>
      <c r="W5">
        <v>2</v>
      </c>
      <c r="Y5">
        <f t="shared" si="1"/>
        <v>10</v>
      </c>
    </row>
    <row r="6" spans="1:25" x14ac:dyDescent="0.3">
      <c r="A6" t="s">
        <v>100</v>
      </c>
      <c r="B6">
        <f t="shared" si="0"/>
        <v>10</v>
      </c>
      <c r="U6" t="s">
        <v>101</v>
      </c>
      <c r="V6">
        <v>4</v>
      </c>
      <c r="W6">
        <v>0</v>
      </c>
      <c r="Y6">
        <f t="shared" si="1"/>
        <v>4</v>
      </c>
    </row>
    <row r="7" spans="1:25" x14ac:dyDescent="0.3">
      <c r="A7" t="s">
        <v>102</v>
      </c>
      <c r="B7">
        <f t="shared" si="0"/>
        <v>9</v>
      </c>
      <c r="U7" t="s">
        <v>102</v>
      </c>
      <c r="V7">
        <v>9</v>
      </c>
      <c r="W7">
        <v>0</v>
      </c>
      <c r="Y7">
        <f t="shared" si="1"/>
        <v>9</v>
      </c>
    </row>
    <row r="8" spans="1:25" x14ac:dyDescent="0.3">
      <c r="A8" t="s">
        <v>97</v>
      </c>
      <c r="B8">
        <f t="shared" si="0"/>
        <v>8</v>
      </c>
      <c r="U8" t="s">
        <v>103</v>
      </c>
      <c r="V8">
        <v>14</v>
      </c>
      <c r="W8">
        <v>0</v>
      </c>
      <c r="Y8">
        <f t="shared" si="1"/>
        <v>14</v>
      </c>
    </row>
    <row r="9" spans="1:25" x14ac:dyDescent="0.3">
      <c r="A9" t="s">
        <v>105</v>
      </c>
      <c r="B9">
        <f t="shared" si="0"/>
        <v>7</v>
      </c>
      <c r="U9" t="s">
        <v>104</v>
      </c>
      <c r="V9">
        <v>2</v>
      </c>
      <c r="W9">
        <v>0</v>
      </c>
      <c r="Y9">
        <f t="shared" si="1"/>
        <v>2</v>
      </c>
    </row>
    <row r="10" spans="1:25" x14ac:dyDescent="0.3">
      <c r="A10" t="s">
        <v>113</v>
      </c>
      <c r="B10">
        <f t="shared" si="0"/>
        <v>5</v>
      </c>
      <c r="U10" t="s">
        <v>105</v>
      </c>
      <c r="V10">
        <v>7</v>
      </c>
      <c r="W10">
        <v>0</v>
      </c>
      <c r="Y10">
        <f t="shared" si="1"/>
        <v>7</v>
      </c>
    </row>
    <row r="11" spans="1:25" x14ac:dyDescent="0.3">
      <c r="A11" t="s">
        <v>101</v>
      </c>
      <c r="B11">
        <f t="shared" si="0"/>
        <v>4</v>
      </c>
      <c r="U11" t="s">
        <v>106</v>
      </c>
      <c r="V11">
        <v>1</v>
      </c>
      <c r="W11">
        <v>0</v>
      </c>
      <c r="Y11">
        <f t="shared" si="1"/>
        <v>1</v>
      </c>
    </row>
    <row r="12" spans="1:25" x14ac:dyDescent="0.3">
      <c r="A12" t="s">
        <v>110</v>
      </c>
      <c r="B12">
        <f t="shared" si="0"/>
        <v>4</v>
      </c>
      <c r="U12" t="s">
        <v>107</v>
      </c>
      <c r="V12">
        <v>2</v>
      </c>
      <c r="W12">
        <v>0</v>
      </c>
      <c r="Y12">
        <f t="shared" si="1"/>
        <v>2</v>
      </c>
    </row>
    <row r="13" spans="1:25" x14ac:dyDescent="0.3">
      <c r="A13" t="s">
        <v>112</v>
      </c>
      <c r="B13">
        <f t="shared" si="0"/>
        <v>4</v>
      </c>
      <c r="U13" t="s">
        <v>108</v>
      </c>
      <c r="V13">
        <v>0</v>
      </c>
      <c r="W13">
        <v>0</v>
      </c>
      <c r="Y13">
        <f t="shared" si="1"/>
        <v>0</v>
      </c>
    </row>
    <row r="14" spans="1:25" x14ac:dyDescent="0.3">
      <c r="A14" t="s">
        <v>109</v>
      </c>
      <c r="B14">
        <f t="shared" si="0"/>
        <v>2</v>
      </c>
      <c r="U14" t="s">
        <v>109</v>
      </c>
      <c r="V14">
        <v>2</v>
      </c>
      <c r="W14">
        <v>0</v>
      </c>
      <c r="Y14">
        <f t="shared" si="1"/>
        <v>2</v>
      </c>
    </row>
    <row r="15" spans="1:25" x14ac:dyDescent="0.3">
      <c r="A15" t="s">
        <v>111</v>
      </c>
      <c r="B15">
        <f t="shared" si="0"/>
        <v>2</v>
      </c>
      <c r="U15" t="s">
        <v>110</v>
      </c>
      <c r="V15">
        <v>4</v>
      </c>
      <c r="W15">
        <v>0</v>
      </c>
      <c r="Y15">
        <f t="shared" si="1"/>
        <v>4</v>
      </c>
    </row>
    <row r="16" spans="1:25" x14ac:dyDescent="0.3">
      <c r="A16" t="s">
        <v>104</v>
      </c>
      <c r="B16">
        <f t="shared" si="0"/>
        <v>2</v>
      </c>
      <c r="U16" t="s">
        <v>111</v>
      </c>
      <c r="V16">
        <v>2</v>
      </c>
      <c r="W16">
        <v>0</v>
      </c>
      <c r="Y16">
        <f t="shared" si="1"/>
        <v>2</v>
      </c>
    </row>
    <row r="17" spans="1:25" x14ac:dyDescent="0.3">
      <c r="A17" t="s">
        <v>107</v>
      </c>
      <c r="B17">
        <f t="shared" si="0"/>
        <v>2</v>
      </c>
      <c r="U17" t="s">
        <v>112</v>
      </c>
      <c r="V17">
        <v>4</v>
      </c>
      <c r="W17">
        <v>0</v>
      </c>
      <c r="Y17">
        <f t="shared" si="1"/>
        <v>4</v>
      </c>
    </row>
    <row r="18" spans="1:25" x14ac:dyDescent="0.3">
      <c r="A18" t="s">
        <v>123</v>
      </c>
      <c r="B18">
        <f t="shared" si="0"/>
        <v>2</v>
      </c>
      <c r="U18" t="s">
        <v>113</v>
      </c>
      <c r="V18">
        <v>4</v>
      </c>
      <c r="W18">
        <v>1</v>
      </c>
      <c r="Y18">
        <f t="shared" si="1"/>
        <v>5</v>
      </c>
    </row>
    <row r="19" spans="1:25" x14ac:dyDescent="0.3">
      <c r="A19" t="s">
        <v>118</v>
      </c>
      <c r="B19">
        <f t="shared" si="0"/>
        <v>1</v>
      </c>
      <c r="U19" t="s">
        <v>114</v>
      </c>
      <c r="V19">
        <v>0</v>
      </c>
      <c r="W19">
        <v>0</v>
      </c>
      <c r="Y19">
        <f t="shared" si="1"/>
        <v>0</v>
      </c>
    </row>
    <row r="20" spans="1:25" x14ac:dyDescent="0.3">
      <c r="A20" t="s">
        <v>106</v>
      </c>
      <c r="B20">
        <f t="shared" si="0"/>
        <v>1</v>
      </c>
      <c r="U20" t="s">
        <v>115</v>
      </c>
      <c r="V20">
        <v>1</v>
      </c>
      <c r="W20">
        <v>0</v>
      </c>
      <c r="Y20">
        <f t="shared" si="1"/>
        <v>1</v>
      </c>
    </row>
    <row r="21" spans="1:25" x14ac:dyDescent="0.3">
      <c r="A21" t="s">
        <v>115</v>
      </c>
      <c r="B21">
        <f t="shared" si="0"/>
        <v>1</v>
      </c>
      <c r="U21" t="s">
        <v>116</v>
      </c>
      <c r="V21">
        <v>0</v>
      </c>
      <c r="W21">
        <v>0</v>
      </c>
      <c r="Y21">
        <f t="shared" si="1"/>
        <v>0</v>
      </c>
    </row>
    <row r="22" spans="1:25" x14ac:dyDescent="0.3">
      <c r="A22" t="s">
        <v>108</v>
      </c>
      <c r="B22">
        <f t="shared" si="0"/>
        <v>0</v>
      </c>
      <c r="U22" t="s">
        <v>117</v>
      </c>
      <c r="V22">
        <v>0</v>
      </c>
      <c r="W22">
        <v>0</v>
      </c>
      <c r="Y22">
        <f t="shared" si="1"/>
        <v>0</v>
      </c>
    </row>
    <row r="23" spans="1:25" x14ac:dyDescent="0.3">
      <c r="A23" t="s">
        <v>116</v>
      </c>
      <c r="B23">
        <f t="shared" si="0"/>
        <v>0</v>
      </c>
      <c r="U23" t="s">
        <v>118</v>
      </c>
      <c r="V23">
        <v>1</v>
      </c>
      <c r="W23">
        <v>0</v>
      </c>
      <c r="Y23">
        <f t="shared" si="1"/>
        <v>1</v>
      </c>
    </row>
    <row r="24" spans="1:25" x14ac:dyDescent="0.3">
      <c r="A24" t="s">
        <v>119</v>
      </c>
      <c r="B24">
        <f t="shared" si="0"/>
        <v>0</v>
      </c>
      <c r="U24" t="s">
        <v>119</v>
      </c>
      <c r="V24">
        <v>0</v>
      </c>
      <c r="W24">
        <v>0</v>
      </c>
      <c r="Y24">
        <f t="shared" si="1"/>
        <v>0</v>
      </c>
    </row>
    <row r="25" spans="1:25" x14ac:dyDescent="0.3">
      <c r="A25" t="s">
        <v>122</v>
      </c>
      <c r="B25">
        <f t="shared" si="0"/>
        <v>0</v>
      </c>
      <c r="U25" t="s">
        <v>122</v>
      </c>
      <c r="V25">
        <v>0</v>
      </c>
      <c r="W25">
        <v>0</v>
      </c>
      <c r="Y25">
        <f t="shared" si="1"/>
        <v>0</v>
      </c>
    </row>
    <row r="26" spans="1:25" x14ac:dyDescent="0.3">
      <c r="A26" t="s">
        <v>117</v>
      </c>
      <c r="B26">
        <f t="shared" si="0"/>
        <v>0</v>
      </c>
      <c r="U26" t="s">
        <v>123</v>
      </c>
      <c r="V26">
        <v>0</v>
      </c>
      <c r="W26">
        <v>2</v>
      </c>
      <c r="Y26">
        <f t="shared" si="1"/>
        <v>2</v>
      </c>
    </row>
    <row r="27" spans="1:25" x14ac:dyDescent="0.3">
      <c r="A27" t="s">
        <v>114</v>
      </c>
      <c r="B27">
        <f t="shared" si="0"/>
        <v>0</v>
      </c>
      <c r="U27" t="s">
        <v>96</v>
      </c>
      <c r="V27">
        <v>0</v>
      </c>
      <c r="W27">
        <v>0</v>
      </c>
      <c r="X27">
        <v>49</v>
      </c>
      <c r="Y27">
        <f>V27+W27+X27</f>
        <v>49</v>
      </c>
    </row>
  </sheetData>
  <autoFilter ref="A1:B25" xr:uid="{B9727E7A-43A9-4AF1-9DEE-D66CFCECDAA8}">
    <sortState xmlns:xlrd2="http://schemas.microsoft.com/office/spreadsheetml/2017/richdata2" ref="A2:B27">
      <sortCondition descending="1" ref="B1:B25"/>
    </sortState>
  </autoFilter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DDA5-1C5F-4797-89A5-A4BE819FBD64}">
  <dimension ref="A1:Y27"/>
  <sheetViews>
    <sheetView topLeftCell="A31" zoomScaleNormal="100" workbookViewId="0">
      <selection activeCell="G42" sqref="G42"/>
    </sheetView>
  </sheetViews>
  <sheetFormatPr defaultRowHeight="16.5" x14ac:dyDescent="0.3"/>
  <cols>
    <col min="3" max="4" width="15.125" bestFit="1" customWidth="1"/>
    <col min="22" max="23" width="15.125" bestFit="1" customWidth="1"/>
  </cols>
  <sheetData>
    <row r="1" spans="1:25" x14ac:dyDescent="0.3">
      <c r="A1" t="s">
        <v>0</v>
      </c>
      <c r="B1" t="s">
        <v>1</v>
      </c>
      <c r="V1" t="s">
        <v>11</v>
      </c>
      <c r="W1" t="s">
        <v>12</v>
      </c>
      <c r="X1" t="s">
        <v>96</v>
      </c>
      <c r="Y1" t="s">
        <v>121</v>
      </c>
    </row>
    <row r="2" spans="1:25" x14ac:dyDescent="0.3">
      <c r="A2" t="s">
        <v>96</v>
      </c>
      <c r="B2">
        <f t="shared" ref="B2:B27" si="0">VLOOKUP(A2,$U$2:$Y$27,5,0)</f>
        <v>41</v>
      </c>
      <c r="U2" t="s">
        <v>97</v>
      </c>
      <c r="V2">
        <v>4</v>
      </c>
      <c r="W2">
        <v>0</v>
      </c>
      <c r="Y2">
        <f>V2+W2+X2</f>
        <v>4</v>
      </c>
    </row>
    <row r="3" spans="1:25" x14ac:dyDescent="0.3">
      <c r="A3" t="s">
        <v>103</v>
      </c>
      <c r="B3">
        <f t="shared" si="0"/>
        <v>25</v>
      </c>
      <c r="U3" t="s">
        <v>98</v>
      </c>
      <c r="V3">
        <v>7</v>
      </c>
      <c r="W3">
        <v>1</v>
      </c>
      <c r="Y3">
        <f t="shared" ref="Y3:Y26" si="1">V3+W3+X3</f>
        <v>8</v>
      </c>
    </row>
    <row r="4" spans="1:25" x14ac:dyDescent="0.3">
      <c r="A4" t="s">
        <v>105</v>
      </c>
      <c r="B4">
        <f t="shared" si="0"/>
        <v>14</v>
      </c>
      <c r="U4" t="s">
        <v>99</v>
      </c>
      <c r="V4">
        <v>12</v>
      </c>
      <c r="W4">
        <v>1</v>
      </c>
      <c r="Y4">
        <f t="shared" si="1"/>
        <v>13</v>
      </c>
    </row>
    <row r="5" spans="1:25" x14ac:dyDescent="0.3">
      <c r="A5" t="s">
        <v>99</v>
      </c>
      <c r="B5">
        <f t="shared" si="0"/>
        <v>13</v>
      </c>
      <c r="U5" t="s">
        <v>100</v>
      </c>
      <c r="V5">
        <v>11</v>
      </c>
      <c r="W5">
        <v>2</v>
      </c>
      <c r="Y5">
        <f t="shared" si="1"/>
        <v>13</v>
      </c>
    </row>
    <row r="6" spans="1:25" x14ac:dyDescent="0.3">
      <c r="A6" t="s">
        <v>100</v>
      </c>
      <c r="B6">
        <f t="shared" si="0"/>
        <v>13</v>
      </c>
      <c r="U6" t="s">
        <v>101</v>
      </c>
      <c r="V6">
        <v>5</v>
      </c>
      <c r="W6">
        <v>1</v>
      </c>
      <c r="Y6">
        <f t="shared" si="1"/>
        <v>6</v>
      </c>
    </row>
    <row r="7" spans="1:25" x14ac:dyDescent="0.3">
      <c r="A7" t="s">
        <v>98</v>
      </c>
      <c r="B7">
        <f t="shared" si="0"/>
        <v>8</v>
      </c>
      <c r="U7" t="s">
        <v>102</v>
      </c>
      <c r="V7">
        <v>6</v>
      </c>
      <c r="W7">
        <v>0</v>
      </c>
      <c r="Y7">
        <f t="shared" si="1"/>
        <v>6</v>
      </c>
    </row>
    <row r="8" spans="1:25" x14ac:dyDescent="0.3">
      <c r="A8" t="s">
        <v>102</v>
      </c>
      <c r="B8">
        <f t="shared" si="0"/>
        <v>6</v>
      </c>
      <c r="U8" t="s">
        <v>103</v>
      </c>
      <c r="V8">
        <v>23</v>
      </c>
      <c r="W8">
        <v>2</v>
      </c>
      <c r="Y8">
        <f t="shared" si="1"/>
        <v>25</v>
      </c>
    </row>
    <row r="9" spans="1:25" x14ac:dyDescent="0.3">
      <c r="A9" t="s">
        <v>101</v>
      </c>
      <c r="B9">
        <f t="shared" si="0"/>
        <v>6</v>
      </c>
      <c r="U9" t="s">
        <v>104</v>
      </c>
      <c r="V9">
        <v>1</v>
      </c>
      <c r="W9">
        <v>0</v>
      </c>
      <c r="Y9">
        <f t="shared" si="1"/>
        <v>1</v>
      </c>
    </row>
    <row r="10" spans="1:25" x14ac:dyDescent="0.3">
      <c r="A10" t="s">
        <v>110</v>
      </c>
      <c r="B10">
        <f t="shared" si="0"/>
        <v>5</v>
      </c>
      <c r="U10" t="s">
        <v>105</v>
      </c>
      <c r="V10">
        <v>13</v>
      </c>
      <c r="W10">
        <v>1</v>
      </c>
      <c r="Y10">
        <f t="shared" si="1"/>
        <v>14</v>
      </c>
    </row>
    <row r="11" spans="1:25" x14ac:dyDescent="0.3">
      <c r="A11" t="s">
        <v>109</v>
      </c>
      <c r="B11">
        <f t="shared" si="0"/>
        <v>5</v>
      </c>
      <c r="U11" t="s">
        <v>106</v>
      </c>
      <c r="V11">
        <v>0</v>
      </c>
      <c r="W11">
        <v>0</v>
      </c>
      <c r="Y11">
        <f t="shared" si="1"/>
        <v>0</v>
      </c>
    </row>
    <row r="12" spans="1:25" x14ac:dyDescent="0.3">
      <c r="A12" t="s">
        <v>97</v>
      </c>
      <c r="B12">
        <f t="shared" si="0"/>
        <v>4</v>
      </c>
      <c r="U12" t="s">
        <v>107</v>
      </c>
      <c r="V12">
        <v>1</v>
      </c>
      <c r="W12">
        <v>0</v>
      </c>
      <c r="Y12">
        <f t="shared" si="1"/>
        <v>1</v>
      </c>
    </row>
    <row r="13" spans="1:25" x14ac:dyDescent="0.3">
      <c r="A13" t="s">
        <v>112</v>
      </c>
      <c r="B13">
        <f t="shared" si="0"/>
        <v>3</v>
      </c>
      <c r="U13" t="s">
        <v>108</v>
      </c>
      <c r="V13">
        <v>2</v>
      </c>
      <c r="W13">
        <v>0</v>
      </c>
      <c r="Y13">
        <f t="shared" si="1"/>
        <v>2</v>
      </c>
    </row>
    <row r="14" spans="1:25" x14ac:dyDescent="0.3">
      <c r="A14" t="s">
        <v>111</v>
      </c>
      <c r="B14">
        <f t="shared" si="0"/>
        <v>3</v>
      </c>
      <c r="U14" t="s">
        <v>109</v>
      </c>
      <c r="V14">
        <v>3</v>
      </c>
      <c r="W14">
        <v>2</v>
      </c>
      <c r="Y14">
        <f t="shared" si="1"/>
        <v>5</v>
      </c>
    </row>
    <row r="15" spans="1:25" x14ac:dyDescent="0.3">
      <c r="A15" t="s">
        <v>116</v>
      </c>
      <c r="B15">
        <f t="shared" si="0"/>
        <v>3</v>
      </c>
      <c r="U15" t="s">
        <v>110</v>
      </c>
      <c r="V15">
        <v>5</v>
      </c>
      <c r="W15">
        <v>0</v>
      </c>
      <c r="Y15">
        <f t="shared" si="1"/>
        <v>5</v>
      </c>
    </row>
    <row r="16" spans="1:25" x14ac:dyDescent="0.3">
      <c r="A16" t="s">
        <v>123</v>
      </c>
      <c r="B16">
        <f t="shared" si="0"/>
        <v>2</v>
      </c>
      <c r="U16" t="s">
        <v>111</v>
      </c>
      <c r="V16">
        <v>3</v>
      </c>
      <c r="W16">
        <v>0</v>
      </c>
      <c r="Y16">
        <f t="shared" si="1"/>
        <v>3</v>
      </c>
    </row>
    <row r="17" spans="1:25" x14ac:dyDescent="0.3">
      <c r="A17" t="s">
        <v>108</v>
      </c>
      <c r="B17">
        <f t="shared" si="0"/>
        <v>2</v>
      </c>
      <c r="U17" t="s">
        <v>112</v>
      </c>
      <c r="V17">
        <v>3</v>
      </c>
      <c r="W17">
        <v>0</v>
      </c>
      <c r="Y17">
        <f t="shared" si="1"/>
        <v>3</v>
      </c>
    </row>
    <row r="18" spans="1:25" x14ac:dyDescent="0.3">
      <c r="A18" t="s">
        <v>113</v>
      </c>
      <c r="B18">
        <f t="shared" si="0"/>
        <v>1</v>
      </c>
      <c r="U18" t="s">
        <v>113</v>
      </c>
      <c r="V18">
        <v>1</v>
      </c>
      <c r="W18">
        <v>0</v>
      </c>
      <c r="Y18">
        <f t="shared" si="1"/>
        <v>1</v>
      </c>
    </row>
    <row r="19" spans="1:25" x14ac:dyDescent="0.3">
      <c r="A19" t="s">
        <v>104</v>
      </c>
      <c r="B19">
        <f t="shared" si="0"/>
        <v>1</v>
      </c>
      <c r="U19" t="s">
        <v>114</v>
      </c>
      <c r="V19">
        <v>0</v>
      </c>
      <c r="W19">
        <v>0</v>
      </c>
      <c r="Y19">
        <f t="shared" si="1"/>
        <v>0</v>
      </c>
    </row>
    <row r="20" spans="1:25" x14ac:dyDescent="0.3">
      <c r="A20" t="s">
        <v>107</v>
      </c>
      <c r="B20">
        <f t="shared" si="0"/>
        <v>1</v>
      </c>
      <c r="U20" t="s">
        <v>115</v>
      </c>
      <c r="V20">
        <v>0</v>
      </c>
      <c r="W20">
        <v>0</v>
      </c>
      <c r="Y20">
        <f t="shared" si="1"/>
        <v>0</v>
      </c>
    </row>
    <row r="21" spans="1:25" x14ac:dyDescent="0.3">
      <c r="A21" t="s">
        <v>118</v>
      </c>
      <c r="B21">
        <f t="shared" si="0"/>
        <v>0</v>
      </c>
      <c r="U21" t="s">
        <v>116</v>
      </c>
      <c r="V21">
        <v>3</v>
      </c>
      <c r="W21">
        <v>0</v>
      </c>
      <c r="Y21">
        <f t="shared" si="1"/>
        <v>3</v>
      </c>
    </row>
    <row r="22" spans="1:25" x14ac:dyDescent="0.3">
      <c r="A22" t="s">
        <v>106</v>
      </c>
      <c r="B22">
        <f t="shared" si="0"/>
        <v>0</v>
      </c>
      <c r="U22" t="s">
        <v>117</v>
      </c>
      <c r="V22">
        <v>0</v>
      </c>
      <c r="W22">
        <v>0</v>
      </c>
      <c r="Y22">
        <f t="shared" si="1"/>
        <v>0</v>
      </c>
    </row>
    <row r="23" spans="1:25" x14ac:dyDescent="0.3">
      <c r="A23" t="s">
        <v>115</v>
      </c>
      <c r="B23">
        <f t="shared" si="0"/>
        <v>0</v>
      </c>
      <c r="U23" t="s">
        <v>118</v>
      </c>
      <c r="V23">
        <v>0</v>
      </c>
      <c r="W23">
        <v>0</v>
      </c>
      <c r="Y23">
        <f t="shared" si="1"/>
        <v>0</v>
      </c>
    </row>
    <row r="24" spans="1:25" x14ac:dyDescent="0.3">
      <c r="A24" t="s">
        <v>119</v>
      </c>
      <c r="B24">
        <f t="shared" si="0"/>
        <v>0</v>
      </c>
      <c r="U24" t="s">
        <v>119</v>
      </c>
      <c r="V24">
        <v>0</v>
      </c>
      <c r="W24">
        <v>0</v>
      </c>
      <c r="Y24">
        <f t="shared" si="1"/>
        <v>0</v>
      </c>
    </row>
    <row r="25" spans="1:25" x14ac:dyDescent="0.3">
      <c r="A25" t="s">
        <v>122</v>
      </c>
      <c r="B25">
        <f t="shared" si="0"/>
        <v>0</v>
      </c>
      <c r="U25" t="s">
        <v>122</v>
      </c>
      <c r="V25">
        <v>0</v>
      </c>
      <c r="W25">
        <v>0</v>
      </c>
      <c r="Y25">
        <f t="shared" si="1"/>
        <v>0</v>
      </c>
    </row>
    <row r="26" spans="1:25" x14ac:dyDescent="0.3">
      <c r="A26" t="s">
        <v>117</v>
      </c>
      <c r="B26">
        <f t="shared" si="0"/>
        <v>0</v>
      </c>
      <c r="U26" t="s">
        <v>123</v>
      </c>
      <c r="V26">
        <v>0</v>
      </c>
      <c r="W26">
        <v>2</v>
      </c>
      <c r="Y26">
        <f t="shared" si="1"/>
        <v>2</v>
      </c>
    </row>
    <row r="27" spans="1:25" x14ac:dyDescent="0.3">
      <c r="A27" t="s">
        <v>114</v>
      </c>
      <c r="B27">
        <f t="shared" si="0"/>
        <v>0</v>
      </c>
      <c r="U27" t="s">
        <v>96</v>
      </c>
      <c r="V27">
        <v>0</v>
      </c>
      <c r="W27">
        <v>0</v>
      </c>
      <c r="X27">
        <v>41</v>
      </c>
      <c r="Y27">
        <f>V27+W27+X27</f>
        <v>41</v>
      </c>
    </row>
  </sheetData>
  <autoFilter ref="A1:B25" xr:uid="{B9727E7A-43A9-4AF1-9DEE-D66CFCECDAA8}">
    <sortState xmlns:xlrd2="http://schemas.microsoft.com/office/spreadsheetml/2017/richdata2" ref="A2:B27">
      <sortCondition descending="1" ref="B1:B25"/>
    </sortState>
  </autoFilter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43D1-3A38-45B0-A42A-D998297CC05B}">
  <dimension ref="A1:Y27"/>
  <sheetViews>
    <sheetView topLeftCell="A13" zoomScaleNormal="100" workbookViewId="0">
      <selection activeCell="T43" sqref="T43"/>
    </sheetView>
  </sheetViews>
  <sheetFormatPr defaultRowHeight="16.5" x14ac:dyDescent="0.3"/>
  <cols>
    <col min="3" max="4" width="15.125" bestFit="1" customWidth="1"/>
    <col min="22" max="23" width="15.125" bestFit="1" customWidth="1"/>
  </cols>
  <sheetData>
    <row r="1" spans="1:25" x14ac:dyDescent="0.3">
      <c r="A1" t="s">
        <v>0</v>
      </c>
      <c r="B1" t="s">
        <v>1</v>
      </c>
      <c r="V1" t="s">
        <v>11</v>
      </c>
      <c r="W1" t="s">
        <v>12</v>
      </c>
      <c r="X1" t="s">
        <v>96</v>
      </c>
      <c r="Y1" t="s">
        <v>121</v>
      </c>
    </row>
    <row r="2" spans="1:25" x14ac:dyDescent="0.3">
      <c r="A2" t="s">
        <v>96</v>
      </c>
      <c r="B2">
        <f t="shared" ref="B2:B27" si="0">VLOOKUP(A2,$U$2:$Y$27,5,0)</f>
        <v>48</v>
      </c>
      <c r="U2" t="s">
        <v>97</v>
      </c>
      <c r="V2">
        <v>9</v>
      </c>
      <c r="W2">
        <v>0</v>
      </c>
      <c r="Y2">
        <f>V2+W2+X2</f>
        <v>9</v>
      </c>
    </row>
    <row r="3" spans="1:25" x14ac:dyDescent="0.3">
      <c r="A3" t="s">
        <v>103</v>
      </c>
      <c r="B3">
        <f t="shared" si="0"/>
        <v>20</v>
      </c>
      <c r="U3" t="s">
        <v>98</v>
      </c>
      <c r="V3">
        <v>6</v>
      </c>
      <c r="W3">
        <v>0</v>
      </c>
      <c r="Y3">
        <f t="shared" ref="Y3:Y26" si="1">V3+W3+X3</f>
        <v>6</v>
      </c>
    </row>
    <row r="4" spans="1:25" x14ac:dyDescent="0.3">
      <c r="A4" t="s">
        <v>99</v>
      </c>
      <c r="B4">
        <f t="shared" si="0"/>
        <v>14</v>
      </c>
      <c r="U4" t="s">
        <v>99</v>
      </c>
      <c r="V4">
        <v>11</v>
      </c>
      <c r="W4">
        <v>3</v>
      </c>
      <c r="Y4">
        <f t="shared" si="1"/>
        <v>14</v>
      </c>
    </row>
    <row r="5" spans="1:25" x14ac:dyDescent="0.3">
      <c r="A5" t="s">
        <v>111</v>
      </c>
      <c r="B5">
        <f t="shared" si="0"/>
        <v>10</v>
      </c>
      <c r="U5" t="s">
        <v>100</v>
      </c>
      <c r="V5">
        <v>4</v>
      </c>
      <c r="W5">
        <v>2</v>
      </c>
      <c r="Y5">
        <f t="shared" si="1"/>
        <v>6</v>
      </c>
    </row>
    <row r="6" spans="1:25" x14ac:dyDescent="0.3">
      <c r="A6" t="s">
        <v>97</v>
      </c>
      <c r="B6">
        <f t="shared" si="0"/>
        <v>9</v>
      </c>
      <c r="U6" t="s">
        <v>101</v>
      </c>
      <c r="V6">
        <v>2</v>
      </c>
      <c r="W6">
        <v>1</v>
      </c>
      <c r="Y6">
        <f t="shared" si="1"/>
        <v>3</v>
      </c>
    </row>
    <row r="7" spans="1:25" x14ac:dyDescent="0.3">
      <c r="A7" t="s">
        <v>105</v>
      </c>
      <c r="B7">
        <f t="shared" si="0"/>
        <v>8</v>
      </c>
      <c r="U7" t="s">
        <v>102</v>
      </c>
      <c r="V7">
        <v>6</v>
      </c>
      <c r="W7">
        <v>0</v>
      </c>
      <c r="Y7">
        <f t="shared" si="1"/>
        <v>6</v>
      </c>
    </row>
    <row r="8" spans="1:25" x14ac:dyDescent="0.3">
      <c r="A8" t="s">
        <v>100</v>
      </c>
      <c r="B8">
        <f t="shared" si="0"/>
        <v>6</v>
      </c>
      <c r="U8" t="s">
        <v>103</v>
      </c>
      <c r="V8">
        <v>20</v>
      </c>
      <c r="W8">
        <v>0</v>
      </c>
      <c r="Y8">
        <f t="shared" si="1"/>
        <v>20</v>
      </c>
    </row>
    <row r="9" spans="1:25" x14ac:dyDescent="0.3">
      <c r="A9" t="s">
        <v>98</v>
      </c>
      <c r="B9">
        <f t="shared" si="0"/>
        <v>6</v>
      </c>
      <c r="U9" t="s">
        <v>104</v>
      </c>
      <c r="V9">
        <v>2</v>
      </c>
      <c r="W9">
        <v>0</v>
      </c>
      <c r="Y9">
        <f t="shared" si="1"/>
        <v>2</v>
      </c>
    </row>
    <row r="10" spans="1:25" x14ac:dyDescent="0.3">
      <c r="A10" t="s">
        <v>102</v>
      </c>
      <c r="B10">
        <f t="shared" si="0"/>
        <v>6</v>
      </c>
      <c r="U10" t="s">
        <v>105</v>
      </c>
      <c r="V10">
        <v>7</v>
      </c>
      <c r="W10">
        <v>1</v>
      </c>
      <c r="Y10">
        <f t="shared" si="1"/>
        <v>8</v>
      </c>
    </row>
    <row r="11" spans="1:25" x14ac:dyDescent="0.3">
      <c r="A11" t="s">
        <v>110</v>
      </c>
      <c r="B11">
        <f t="shared" si="0"/>
        <v>6</v>
      </c>
      <c r="U11" t="s">
        <v>106</v>
      </c>
      <c r="V11">
        <v>0</v>
      </c>
      <c r="W11">
        <v>0</v>
      </c>
      <c r="Y11">
        <f t="shared" si="1"/>
        <v>0</v>
      </c>
    </row>
    <row r="12" spans="1:25" x14ac:dyDescent="0.3">
      <c r="A12" t="s">
        <v>112</v>
      </c>
      <c r="B12">
        <f t="shared" si="0"/>
        <v>6</v>
      </c>
      <c r="U12" t="s">
        <v>107</v>
      </c>
      <c r="V12">
        <v>0</v>
      </c>
      <c r="W12">
        <v>0</v>
      </c>
      <c r="Y12">
        <f t="shared" si="1"/>
        <v>0</v>
      </c>
    </row>
    <row r="13" spans="1:25" x14ac:dyDescent="0.3">
      <c r="A13" t="s">
        <v>123</v>
      </c>
      <c r="B13">
        <f t="shared" si="0"/>
        <v>4</v>
      </c>
      <c r="U13" t="s">
        <v>108</v>
      </c>
      <c r="V13">
        <v>0</v>
      </c>
      <c r="W13">
        <v>0</v>
      </c>
      <c r="Y13">
        <f t="shared" si="1"/>
        <v>0</v>
      </c>
    </row>
    <row r="14" spans="1:25" x14ac:dyDescent="0.3">
      <c r="A14" t="s">
        <v>101</v>
      </c>
      <c r="B14">
        <f t="shared" si="0"/>
        <v>3</v>
      </c>
      <c r="U14" t="s">
        <v>109</v>
      </c>
      <c r="V14">
        <v>1</v>
      </c>
      <c r="W14">
        <v>0</v>
      </c>
      <c r="Y14">
        <f t="shared" si="1"/>
        <v>1</v>
      </c>
    </row>
    <row r="15" spans="1:25" x14ac:dyDescent="0.3">
      <c r="A15" t="s">
        <v>104</v>
      </c>
      <c r="B15">
        <f t="shared" si="0"/>
        <v>2</v>
      </c>
      <c r="U15" t="s">
        <v>110</v>
      </c>
      <c r="V15">
        <v>6</v>
      </c>
      <c r="W15">
        <v>0</v>
      </c>
      <c r="Y15">
        <f t="shared" si="1"/>
        <v>6</v>
      </c>
    </row>
    <row r="16" spans="1:25" x14ac:dyDescent="0.3">
      <c r="A16" t="s">
        <v>109</v>
      </c>
      <c r="B16">
        <f t="shared" si="0"/>
        <v>1</v>
      </c>
      <c r="U16" t="s">
        <v>111</v>
      </c>
      <c r="V16">
        <v>9</v>
      </c>
      <c r="W16">
        <v>1</v>
      </c>
      <c r="Y16">
        <f t="shared" si="1"/>
        <v>10</v>
      </c>
    </row>
    <row r="17" spans="1:25" x14ac:dyDescent="0.3">
      <c r="A17" t="s">
        <v>116</v>
      </c>
      <c r="B17">
        <f t="shared" si="0"/>
        <v>1</v>
      </c>
      <c r="U17" t="s">
        <v>112</v>
      </c>
      <c r="V17">
        <v>6</v>
      </c>
      <c r="W17">
        <v>0</v>
      </c>
      <c r="Y17">
        <f t="shared" si="1"/>
        <v>6</v>
      </c>
    </row>
    <row r="18" spans="1:25" x14ac:dyDescent="0.3">
      <c r="A18" t="s">
        <v>113</v>
      </c>
      <c r="B18">
        <f t="shared" si="0"/>
        <v>1</v>
      </c>
      <c r="U18" t="s">
        <v>113</v>
      </c>
      <c r="V18">
        <v>1</v>
      </c>
      <c r="W18">
        <v>0</v>
      </c>
      <c r="Y18">
        <f t="shared" si="1"/>
        <v>1</v>
      </c>
    </row>
    <row r="19" spans="1:25" x14ac:dyDescent="0.3">
      <c r="A19" t="s">
        <v>115</v>
      </c>
      <c r="B19">
        <f t="shared" si="0"/>
        <v>1</v>
      </c>
      <c r="U19" t="s">
        <v>114</v>
      </c>
      <c r="V19">
        <v>0</v>
      </c>
      <c r="W19">
        <v>0</v>
      </c>
      <c r="Y19">
        <f t="shared" si="1"/>
        <v>0</v>
      </c>
    </row>
    <row r="20" spans="1:25" x14ac:dyDescent="0.3">
      <c r="A20" t="s">
        <v>108</v>
      </c>
      <c r="B20">
        <f t="shared" si="0"/>
        <v>0</v>
      </c>
      <c r="U20" t="s">
        <v>115</v>
      </c>
      <c r="V20">
        <v>1</v>
      </c>
      <c r="W20">
        <v>0</v>
      </c>
      <c r="Y20">
        <f t="shared" si="1"/>
        <v>1</v>
      </c>
    </row>
    <row r="21" spans="1:25" x14ac:dyDescent="0.3">
      <c r="A21" t="s">
        <v>107</v>
      </c>
      <c r="B21">
        <f t="shared" si="0"/>
        <v>0</v>
      </c>
      <c r="U21" t="s">
        <v>116</v>
      </c>
      <c r="V21">
        <v>1</v>
      </c>
      <c r="W21">
        <v>0</v>
      </c>
      <c r="Y21">
        <f t="shared" si="1"/>
        <v>1</v>
      </c>
    </row>
    <row r="22" spans="1:25" x14ac:dyDescent="0.3">
      <c r="A22" t="s">
        <v>118</v>
      </c>
      <c r="B22">
        <f t="shared" si="0"/>
        <v>0</v>
      </c>
      <c r="U22" t="s">
        <v>117</v>
      </c>
      <c r="V22">
        <v>0</v>
      </c>
      <c r="W22">
        <v>0</v>
      </c>
      <c r="Y22">
        <f t="shared" si="1"/>
        <v>0</v>
      </c>
    </row>
    <row r="23" spans="1:25" x14ac:dyDescent="0.3">
      <c r="A23" t="s">
        <v>106</v>
      </c>
      <c r="B23">
        <f t="shared" si="0"/>
        <v>0</v>
      </c>
      <c r="U23" t="s">
        <v>118</v>
      </c>
      <c r="V23">
        <v>0</v>
      </c>
      <c r="W23">
        <v>0</v>
      </c>
      <c r="Y23">
        <f t="shared" si="1"/>
        <v>0</v>
      </c>
    </row>
    <row r="24" spans="1:25" x14ac:dyDescent="0.3">
      <c r="A24" t="s">
        <v>119</v>
      </c>
      <c r="B24">
        <f t="shared" si="0"/>
        <v>0</v>
      </c>
      <c r="U24" t="s">
        <v>119</v>
      </c>
      <c r="V24">
        <v>0</v>
      </c>
      <c r="W24">
        <v>0</v>
      </c>
      <c r="Y24">
        <f t="shared" si="1"/>
        <v>0</v>
      </c>
    </row>
    <row r="25" spans="1:25" x14ac:dyDescent="0.3">
      <c r="A25" t="s">
        <v>122</v>
      </c>
      <c r="B25">
        <f t="shared" si="0"/>
        <v>0</v>
      </c>
      <c r="U25" t="s">
        <v>122</v>
      </c>
      <c r="V25">
        <v>0</v>
      </c>
      <c r="W25">
        <v>0</v>
      </c>
      <c r="Y25">
        <f t="shared" si="1"/>
        <v>0</v>
      </c>
    </row>
    <row r="26" spans="1:25" x14ac:dyDescent="0.3">
      <c r="A26" t="s">
        <v>117</v>
      </c>
      <c r="B26">
        <f t="shared" si="0"/>
        <v>0</v>
      </c>
      <c r="U26" t="s">
        <v>123</v>
      </c>
      <c r="V26">
        <v>0</v>
      </c>
      <c r="W26">
        <v>4</v>
      </c>
      <c r="Y26">
        <f t="shared" si="1"/>
        <v>4</v>
      </c>
    </row>
    <row r="27" spans="1:25" x14ac:dyDescent="0.3">
      <c r="A27" t="s">
        <v>114</v>
      </c>
      <c r="B27">
        <f t="shared" si="0"/>
        <v>0</v>
      </c>
      <c r="U27" t="s">
        <v>96</v>
      </c>
      <c r="V27">
        <v>0</v>
      </c>
      <c r="W27">
        <v>0</v>
      </c>
      <c r="X27">
        <v>48</v>
      </c>
      <c r="Y27">
        <f>V27+W27+X27</f>
        <v>48</v>
      </c>
    </row>
  </sheetData>
  <autoFilter ref="A1:B25" xr:uid="{B9727E7A-43A9-4AF1-9DEE-D66CFCECDAA8}">
    <sortState xmlns:xlrd2="http://schemas.microsoft.com/office/spreadsheetml/2017/richdata2" ref="A2:B27">
      <sortCondition descending="1" ref="B1:B25"/>
    </sortState>
  </autoFilter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DC68-9A15-421F-A7E2-3661FFC5FEF7}">
  <dimension ref="A1:Y28"/>
  <sheetViews>
    <sheetView zoomScaleNormal="100" workbookViewId="0">
      <selection activeCell="M51" sqref="M51"/>
    </sheetView>
  </sheetViews>
  <sheetFormatPr defaultRowHeight="16.5" x14ac:dyDescent="0.3"/>
  <cols>
    <col min="3" max="4" width="15.125" bestFit="1" customWidth="1"/>
    <col min="22" max="23" width="15.125" bestFit="1" customWidth="1"/>
  </cols>
  <sheetData>
    <row r="1" spans="1:25" x14ac:dyDescent="0.3">
      <c r="A1" t="s">
        <v>0</v>
      </c>
      <c r="B1" t="s">
        <v>1</v>
      </c>
      <c r="V1" t="s">
        <v>11</v>
      </c>
      <c r="W1" t="s">
        <v>12</v>
      </c>
      <c r="X1" t="s">
        <v>96</v>
      </c>
      <c r="Y1" t="s">
        <v>121</v>
      </c>
    </row>
    <row r="2" spans="1:25" x14ac:dyDescent="0.3">
      <c r="A2" t="s">
        <v>96</v>
      </c>
      <c r="B2">
        <f t="shared" ref="B2:B28" si="0">VLOOKUP(A2,$U$2:$Y$28,5,0)</f>
        <v>61</v>
      </c>
      <c r="U2" t="s">
        <v>97</v>
      </c>
      <c r="V2">
        <v>8</v>
      </c>
      <c r="W2">
        <v>0</v>
      </c>
      <c r="Y2">
        <f>V2+W2+X2</f>
        <v>8</v>
      </c>
    </row>
    <row r="3" spans="1:25" x14ac:dyDescent="0.3">
      <c r="A3" t="s">
        <v>99</v>
      </c>
      <c r="B3">
        <f t="shared" si="0"/>
        <v>15</v>
      </c>
      <c r="U3" t="s">
        <v>98</v>
      </c>
      <c r="V3">
        <v>9</v>
      </c>
      <c r="W3">
        <v>1</v>
      </c>
      <c r="Y3">
        <f t="shared" ref="Y3:Y28" si="1">V3+W3+X3</f>
        <v>10</v>
      </c>
    </row>
    <row r="4" spans="1:25" x14ac:dyDescent="0.3">
      <c r="A4" t="s">
        <v>103</v>
      </c>
      <c r="B4">
        <f t="shared" si="0"/>
        <v>13</v>
      </c>
      <c r="U4" t="s">
        <v>99</v>
      </c>
      <c r="V4">
        <v>9</v>
      </c>
      <c r="W4">
        <v>6</v>
      </c>
      <c r="Y4">
        <f t="shared" si="1"/>
        <v>15</v>
      </c>
    </row>
    <row r="5" spans="1:25" x14ac:dyDescent="0.3">
      <c r="A5" t="s">
        <v>111</v>
      </c>
      <c r="B5">
        <f t="shared" si="0"/>
        <v>10</v>
      </c>
      <c r="U5" t="s">
        <v>100</v>
      </c>
      <c r="V5">
        <v>4</v>
      </c>
      <c r="W5">
        <v>5</v>
      </c>
      <c r="Y5">
        <f t="shared" si="1"/>
        <v>9</v>
      </c>
    </row>
    <row r="6" spans="1:25" x14ac:dyDescent="0.3">
      <c r="A6" t="s">
        <v>98</v>
      </c>
      <c r="B6">
        <f t="shared" si="0"/>
        <v>10</v>
      </c>
      <c r="U6" t="s">
        <v>101</v>
      </c>
      <c r="V6">
        <v>3</v>
      </c>
      <c r="W6">
        <v>0</v>
      </c>
      <c r="Y6">
        <f t="shared" si="1"/>
        <v>3</v>
      </c>
    </row>
    <row r="7" spans="1:25" x14ac:dyDescent="0.3">
      <c r="A7" t="s">
        <v>100</v>
      </c>
      <c r="B7">
        <f t="shared" si="0"/>
        <v>9</v>
      </c>
      <c r="U7" t="s">
        <v>102</v>
      </c>
      <c r="V7">
        <v>6</v>
      </c>
      <c r="W7">
        <v>0</v>
      </c>
      <c r="Y7">
        <f t="shared" si="1"/>
        <v>6</v>
      </c>
    </row>
    <row r="8" spans="1:25" x14ac:dyDescent="0.3">
      <c r="A8" t="s">
        <v>123</v>
      </c>
      <c r="B8">
        <f t="shared" si="0"/>
        <v>9</v>
      </c>
      <c r="U8" t="s">
        <v>103</v>
      </c>
      <c r="V8">
        <v>13</v>
      </c>
      <c r="W8">
        <v>0</v>
      </c>
      <c r="Y8">
        <f t="shared" si="1"/>
        <v>13</v>
      </c>
    </row>
    <row r="9" spans="1:25" x14ac:dyDescent="0.3">
      <c r="A9" t="s">
        <v>97</v>
      </c>
      <c r="B9">
        <f t="shared" si="0"/>
        <v>8</v>
      </c>
      <c r="U9" t="s">
        <v>104</v>
      </c>
      <c r="V9">
        <v>5</v>
      </c>
      <c r="W9">
        <v>1</v>
      </c>
      <c r="Y9">
        <f t="shared" si="1"/>
        <v>6</v>
      </c>
    </row>
    <row r="10" spans="1:25" x14ac:dyDescent="0.3">
      <c r="A10" t="s">
        <v>102</v>
      </c>
      <c r="B10">
        <f t="shared" si="0"/>
        <v>6</v>
      </c>
      <c r="U10" t="s">
        <v>105</v>
      </c>
      <c r="V10">
        <v>3</v>
      </c>
      <c r="W10">
        <v>2</v>
      </c>
      <c r="Y10">
        <f t="shared" si="1"/>
        <v>5</v>
      </c>
    </row>
    <row r="11" spans="1:25" x14ac:dyDescent="0.3">
      <c r="A11" t="s">
        <v>110</v>
      </c>
      <c r="B11">
        <f t="shared" si="0"/>
        <v>6</v>
      </c>
      <c r="U11" t="s">
        <v>106</v>
      </c>
      <c r="V11">
        <v>1</v>
      </c>
      <c r="W11">
        <v>0</v>
      </c>
      <c r="Y11">
        <f t="shared" si="1"/>
        <v>1</v>
      </c>
    </row>
    <row r="12" spans="1:25" x14ac:dyDescent="0.3">
      <c r="A12" t="s">
        <v>104</v>
      </c>
      <c r="B12">
        <f t="shared" si="0"/>
        <v>6</v>
      </c>
      <c r="U12" t="s">
        <v>107</v>
      </c>
      <c r="V12">
        <v>2</v>
      </c>
      <c r="W12">
        <v>0</v>
      </c>
      <c r="Y12">
        <f t="shared" si="1"/>
        <v>2</v>
      </c>
    </row>
    <row r="13" spans="1:25" x14ac:dyDescent="0.3">
      <c r="A13" t="s">
        <v>105</v>
      </c>
      <c r="B13">
        <f t="shared" si="0"/>
        <v>5</v>
      </c>
      <c r="U13" t="s">
        <v>108</v>
      </c>
      <c r="V13">
        <v>1</v>
      </c>
      <c r="W13">
        <v>0</v>
      </c>
      <c r="Y13">
        <f t="shared" si="1"/>
        <v>1</v>
      </c>
    </row>
    <row r="14" spans="1:25" x14ac:dyDescent="0.3">
      <c r="A14" t="s">
        <v>112</v>
      </c>
      <c r="B14">
        <f t="shared" si="0"/>
        <v>4</v>
      </c>
      <c r="U14" t="s">
        <v>109</v>
      </c>
      <c r="V14">
        <v>0</v>
      </c>
      <c r="W14">
        <v>1</v>
      </c>
      <c r="Y14">
        <f t="shared" si="1"/>
        <v>1</v>
      </c>
    </row>
    <row r="15" spans="1:25" x14ac:dyDescent="0.3">
      <c r="A15" t="s">
        <v>101</v>
      </c>
      <c r="B15">
        <f t="shared" si="0"/>
        <v>3</v>
      </c>
      <c r="U15" t="s">
        <v>110</v>
      </c>
      <c r="V15">
        <v>6</v>
      </c>
      <c r="W15">
        <v>0</v>
      </c>
      <c r="Y15">
        <f t="shared" si="1"/>
        <v>6</v>
      </c>
    </row>
    <row r="16" spans="1:25" x14ac:dyDescent="0.3">
      <c r="A16" t="s">
        <v>107</v>
      </c>
      <c r="B16">
        <f t="shared" si="0"/>
        <v>2</v>
      </c>
      <c r="U16" t="s">
        <v>111</v>
      </c>
      <c r="V16">
        <v>10</v>
      </c>
      <c r="W16">
        <v>0</v>
      </c>
      <c r="Y16">
        <f t="shared" si="1"/>
        <v>10</v>
      </c>
    </row>
    <row r="17" spans="1:25" x14ac:dyDescent="0.3">
      <c r="A17" t="s">
        <v>117</v>
      </c>
      <c r="B17">
        <f t="shared" si="0"/>
        <v>2</v>
      </c>
      <c r="U17" t="s">
        <v>112</v>
      </c>
      <c r="V17">
        <v>4</v>
      </c>
      <c r="W17">
        <v>0</v>
      </c>
      <c r="Y17">
        <f t="shared" si="1"/>
        <v>4</v>
      </c>
    </row>
    <row r="18" spans="1:25" x14ac:dyDescent="0.3">
      <c r="A18" t="s">
        <v>109</v>
      </c>
      <c r="B18">
        <f t="shared" si="0"/>
        <v>1</v>
      </c>
      <c r="U18" t="s">
        <v>113</v>
      </c>
      <c r="V18">
        <v>1</v>
      </c>
      <c r="W18">
        <v>0</v>
      </c>
      <c r="Y18">
        <f t="shared" si="1"/>
        <v>1</v>
      </c>
    </row>
    <row r="19" spans="1:25" x14ac:dyDescent="0.3">
      <c r="A19" t="s">
        <v>116</v>
      </c>
      <c r="B19">
        <f t="shared" si="0"/>
        <v>1</v>
      </c>
      <c r="U19" t="s">
        <v>114</v>
      </c>
      <c r="V19">
        <v>0</v>
      </c>
      <c r="W19">
        <v>1</v>
      </c>
      <c r="Y19">
        <f t="shared" si="1"/>
        <v>1</v>
      </c>
    </row>
    <row r="20" spans="1:25" x14ac:dyDescent="0.3">
      <c r="A20" t="s">
        <v>113</v>
      </c>
      <c r="B20">
        <f t="shared" si="0"/>
        <v>1</v>
      </c>
      <c r="U20" t="s">
        <v>115</v>
      </c>
      <c r="V20">
        <v>0</v>
      </c>
      <c r="W20">
        <v>1</v>
      </c>
      <c r="Y20">
        <f t="shared" si="1"/>
        <v>1</v>
      </c>
    </row>
    <row r="21" spans="1:25" x14ac:dyDescent="0.3">
      <c r="A21" t="s">
        <v>115</v>
      </c>
      <c r="B21">
        <f t="shared" si="0"/>
        <v>1</v>
      </c>
      <c r="U21" t="s">
        <v>116</v>
      </c>
      <c r="V21">
        <v>1</v>
      </c>
      <c r="W21">
        <v>0</v>
      </c>
      <c r="Y21">
        <f t="shared" si="1"/>
        <v>1</v>
      </c>
    </row>
    <row r="22" spans="1:25" x14ac:dyDescent="0.3">
      <c r="A22" t="s">
        <v>108</v>
      </c>
      <c r="B22">
        <f t="shared" si="0"/>
        <v>1</v>
      </c>
      <c r="U22" t="s">
        <v>117</v>
      </c>
      <c r="V22">
        <v>0</v>
      </c>
      <c r="W22">
        <v>2</v>
      </c>
      <c r="Y22">
        <f t="shared" si="1"/>
        <v>2</v>
      </c>
    </row>
    <row r="23" spans="1:25" x14ac:dyDescent="0.3">
      <c r="A23" t="s">
        <v>106</v>
      </c>
      <c r="B23">
        <f t="shared" si="0"/>
        <v>1</v>
      </c>
      <c r="U23" t="s">
        <v>118</v>
      </c>
      <c r="V23">
        <v>0</v>
      </c>
      <c r="W23">
        <v>0</v>
      </c>
      <c r="Y23">
        <f t="shared" si="1"/>
        <v>0</v>
      </c>
    </row>
    <row r="24" spans="1:25" x14ac:dyDescent="0.3">
      <c r="A24" t="s">
        <v>114</v>
      </c>
      <c r="B24">
        <f t="shared" si="0"/>
        <v>1</v>
      </c>
      <c r="U24" t="s">
        <v>119</v>
      </c>
      <c r="V24">
        <v>0</v>
      </c>
      <c r="W24">
        <v>0</v>
      </c>
      <c r="Y24">
        <f t="shared" si="1"/>
        <v>0</v>
      </c>
    </row>
    <row r="25" spans="1:25" x14ac:dyDescent="0.3">
      <c r="A25" t="s">
        <v>118</v>
      </c>
      <c r="B25">
        <f t="shared" si="0"/>
        <v>0</v>
      </c>
      <c r="U25" t="s">
        <v>122</v>
      </c>
      <c r="V25">
        <v>0</v>
      </c>
      <c r="W25">
        <v>0</v>
      </c>
      <c r="Y25">
        <f t="shared" si="1"/>
        <v>0</v>
      </c>
    </row>
    <row r="26" spans="1:25" x14ac:dyDescent="0.3">
      <c r="A26" t="s">
        <v>119</v>
      </c>
      <c r="B26">
        <f t="shared" si="0"/>
        <v>0</v>
      </c>
      <c r="U26" t="s">
        <v>123</v>
      </c>
      <c r="W26">
        <v>9</v>
      </c>
      <c r="Y26">
        <f t="shared" si="1"/>
        <v>9</v>
      </c>
    </row>
    <row r="27" spans="1:25" x14ac:dyDescent="0.3">
      <c r="A27" t="s">
        <v>122</v>
      </c>
      <c r="B27">
        <f t="shared" si="0"/>
        <v>0</v>
      </c>
      <c r="U27" t="s">
        <v>125</v>
      </c>
      <c r="V27">
        <v>0</v>
      </c>
      <c r="W27">
        <v>0</v>
      </c>
      <c r="Y27">
        <f t="shared" si="1"/>
        <v>0</v>
      </c>
    </row>
    <row r="28" spans="1:25" x14ac:dyDescent="0.3">
      <c r="A28" t="s">
        <v>125</v>
      </c>
      <c r="B28">
        <f t="shared" si="0"/>
        <v>0</v>
      </c>
      <c r="U28" t="s">
        <v>96</v>
      </c>
      <c r="W28">
        <v>61</v>
      </c>
      <c r="Y28">
        <f t="shared" si="1"/>
        <v>61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E524-9F9C-4BDF-85FD-CA9314BD867E}">
  <dimension ref="A1:Y28"/>
  <sheetViews>
    <sheetView zoomScaleNormal="100" workbookViewId="0">
      <selection activeCell="N51" sqref="N51"/>
    </sheetView>
  </sheetViews>
  <sheetFormatPr defaultRowHeight="16.5" x14ac:dyDescent="0.3"/>
  <cols>
    <col min="3" max="4" width="15.125" bestFit="1" customWidth="1"/>
    <col min="22" max="23" width="15.125" bestFit="1" customWidth="1"/>
  </cols>
  <sheetData>
    <row r="1" spans="1:25" x14ac:dyDescent="0.3">
      <c r="A1" t="s">
        <v>0</v>
      </c>
      <c r="B1" t="s">
        <v>1</v>
      </c>
      <c r="V1" t="s">
        <v>11</v>
      </c>
      <c r="W1" t="s">
        <v>12</v>
      </c>
      <c r="X1" t="s">
        <v>96</v>
      </c>
      <c r="Y1" t="s">
        <v>121</v>
      </c>
    </row>
    <row r="2" spans="1:25" x14ac:dyDescent="0.3">
      <c r="A2" t="s">
        <v>96</v>
      </c>
      <c r="B2">
        <f t="shared" ref="B2:B28" si="0">VLOOKUP(A2,$U$2:$Y$28,5,0)</f>
        <v>58</v>
      </c>
      <c r="U2" t="s">
        <v>97</v>
      </c>
      <c r="V2">
        <v>7</v>
      </c>
      <c r="W2">
        <v>0</v>
      </c>
      <c r="Y2">
        <f>V2+W2+X2</f>
        <v>7</v>
      </c>
    </row>
    <row r="3" spans="1:25" x14ac:dyDescent="0.3">
      <c r="A3" t="s">
        <v>98</v>
      </c>
      <c r="B3">
        <f t="shared" si="0"/>
        <v>20</v>
      </c>
      <c r="U3" t="s">
        <v>98</v>
      </c>
      <c r="V3">
        <v>20</v>
      </c>
      <c r="W3">
        <v>0</v>
      </c>
      <c r="Y3">
        <f t="shared" ref="Y3:Y28" si="1">V3+W3+X3</f>
        <v>20</v>
      </c>
    </row>
    <row r="4" spans="1:25" x14ac:dyDescent="0.3">
      <c r="A4" t="s">
        <v>103</v>
      </c>
      <c r="B4">
        <f t="shared" si="0"/>
        <v>13</v>
      </c>
      <c r="U4" t="s">
        <v>99</v>
      </c>
      <c r="V4">
        <v>6</v>
      </c>
      <c r="W4">
        <v>6</v>
      </c>
      <c r="Y4">
        <f t="shared" si="1"/>
        <v>12</v>
      </c>
    </row>
    <row r="5" spans="1:25" x14ac:dyDescent="0.3">
      <c r="A5" t="s">
        <v>99</v>
      </c>
      <c r="B5">
        <f t="shared" si="0"/>
        <v>12</v>
      </c>
      <c r="U5" t="s">
        <v>100</v>
      </c>
      <c r="V5">
        <v>3</v>
      </c>
      <c r="W5">
        <v>0</v>
      </c>
      <c r="Y5">
        <f t="shared" si="1"/>
        <v>3</v>
      </c>
    </row>
    <row r="6" spans="1:25" x14ac:dyDescent="0.3">
      <c r="A6" t="s">
        <v>97</v>
      </c>
      <c r="B6">
        <f t="shared" si="0"/>
        <v>7</v>
      </c>
      <c r="U6" t="s">
        <v>101</v>
      </c>
      <c r="V6">
        <v>0</v>
      </c>
      <c r="W6">
        <v>2</v>
      </c>
      <c r="Y6">
        <f t="shared" si="1"/>
        <v>2</v>
      </c>
    </row>
    <row r="7" spans="1:25" x14ac:dyDescent="0.3">
      <c r="A7" t="s">
        <v>105</v>
      </c>
      <c r="B7">
        <f t="shared" si="0"/>
        <v>7</v>
      </c>
      <c r="U7" t="s">
        <v>102</v>
      </c>
      <c r="V7">
        <v>3</v>
      </c>
      <c r="W7">
        <v>1</v>
      </c>
      <c r="Y7">
        <f t="shared" si="1"/>
        <v>4</v>
      </c>
    </row>
    <row r="8" spans="1:25" x14ac:dyDescent="0.3">
      <c r="A8" t="s">
        <v>111</v>
      </c>
      <c r="B8">
        <f t="shared" si="0"/>
        <v>6</v>
      </c>
      <c r="U8" t="s">
        <v>103</v>
      </c>
      <c r="V8">
        <v>9</v>
      </c>
      <c r="W8">
        <v>4</v>
      </c>
      <c r="Y8">
        <f t="shared" si="1"/>
        <v>13</v>
      </c>
    </row>
    <row r="9" spans="1:25" x14ac:dyDescent="0.3">
      <c r="A9" t="s">
        <v>110</v>
      </c>
      <c r="B9">
        <f t="shared" si="0"/>
        <v>5</v>
      </c>
      <c r="U9" t="s">
        <v>104</v>
      </c>
      <c r="V9">
        <v>4</v>
      </c>
      <c r="W9">
        <v>0</v>
      </c>
      <c r="Y9">
        <f t="shared" si="1"/>
        <v>4</v>
      </c>
    </row>
    <row r="10" spans="1:25" x14ac:dyDescent="0.3">
      <c r="A10" t="s">
        <v>123</v>
      </c>
      <c r="B10">
        <f t="shared" si="0"/>
        <v>4</v>
      </c>
      <c r="U10" t="s">
        <v>105</v>
      </c>
      <c r="V10">
        <v>7</v>
      </c>
      <c r="W10">
        <v>0</v>
      </c>
      <c r="Y10">
        <f t="shared" si="1"/>
        <v>7</v>
      </c>
    </row>
    <row r="11" spans="1:25" x14ac:dyDescent="0.3">
      <c r="A11" t="s">
        <v>102</v>
      </c>
      <c r="B11">
        <f t="shared" si="0"/>
        <v>4</v>
      </c>
      <c r="U11" t="s">
        <v>106</v>
      </c>
      <c r="V11">
        <v>1</v>
      </c>
      <c r="W11">
        <v>0</v>
      </c>
      <c r="Y11">
        <f t="shared" si="1"/>
        <v>1</v>
      </c>
    </row>
    <row r="12" spans="1:25" x14ac:dyDescent="0.3">
      <c r="A12" t="s">
        <v>104</v>
      </c>
      <c r="B12">
        <f t="shared" si="0"/>
        <v>4</v>
      </c>
      <c r="U12" t="s">
        <v>107</v>
      </c>
      <c r="V12">
        <v>1</v>
      </c>
      <c r="W12">
        <v>0</v>
      </c>
      <c r="Y12">
        <f t="shared" si="1"/>
        <v>1</v>
      </c>
    </row>
    <row r="13" spans="1:25" x14ac:dyDescent="0.3">
      <c r="A13" t="s">
        <v>100</v>
      </c>
      <c r="B13">
        <f t="shared" si="0"/>
        <v>3</v>
      </c>
      <c r="U13" t="s">
        <v>108</v>
      </c>
      <c r="V13">
        <v>3</v>
      </c>
      <c r="W13">
        <v>0</v>
      </c>
      <c r="Y13">
        <f t="shared" si="1"/>
        <v>3</v>
      </c>
    </row>
    <row r="14" spans="1:25" x14ac:dyDescent="0.3">
      <c r="A14" t="s">
        <v>108</v>
      </c>
      <c r="B14">
        <f t="shared" si="0"/>
        <v>3</v>
      </c>
      <c r="U14" t="s">
        <v>109</v>
      </c>
      <c r="V14">
        <v>0</v>
      </c>
      <c r="W14">
        <v>0</v>
      </c>
      <c r="Y14">
        <f t="shared" si="1"/>
        <v>0</v>
      </c>
    </row>
    <row r="15" spans="1:25" x14ac:dyDescent="0.3">
      <c r="A15" t="s">
        <v>101</v>
      </c>
      <c r="B15">
        <f t="shared" si="0"/>
        <v>2</v>
      </c>
      <c r="U15" t="s">
        <v>110</v>
      </c>
      <c r="V15">
        <v>5</v>
      </c>
      <c r="W15">
        <v>0</v>
      </c>
      <c r="Y15">
        <f t="shared" si="1"/>
        <v>5</v>
      </c>
    </row>
    <row r="16" spans="1:25" x14ac:dyDescent="0.3">
      <c r="A16" t="s">
        <v>113</v>
      </c>
      <c r="B16">
        <f t="shared" si="0"/>
        <v>2</v>
      </c>
      <c r="U16" t="s">
        <v>111</v>
      </c>
      <c r="V16">
        <v>6</v>
      </c>
      <c r="W16">
        <v>0</v>
      </c>
      <c r="Y16">
        <f t="shared" si="1"/>
        <v>6</v>
      </c>
    </row>
    <row r="17" spans="1:25" x14ac:dyDescent="0.3">
      <c r="A17" t="s">
        <v>112</v>
      </c>
      <c r="B17">
        <f t="shared" si="0"/>
        <v>1</v>
      </c>
      <c r="U17" t="s">
        <v>112</v>
      </c>
      <c r="V17">
        <v>0</v>
      </c>
      <c r="W17">
        <v>1</v>
      </c>
      <c r="Y17">
        <f t="shared" si="1"/>
        <v>1</v>
      </c>
    </row>
    <row r="18" spans="1:25" x14ac:dyDescent="0.3">
      <c r="A18" t="s">
        <v>107</v>
      </c>
      <c r="B18">
        <f t="shared" si="0"/>
        <v>1</v>
      </c>
      <c r="U18" t="s">
        <v>113</v>
      </c>
      <c r="V18">
        <v>2</v>
      </c>
      <c r="W18">
        <v>0</v>
      </c>
      <c r="Y18">
        <f t="shared" si="1"/>
        <v>2</v>
      </c>
    </row>
    <row r="19" spans="1:25" x14ac:dyDescent="0.3">
      <c r="A19" t="s">
        <v>116</v>
      </c>
      <c r="B19">
        <f t="shared" si="0"/>
        <v>1</v>
      </c>
      <c r="U19" t="s">
        <v>114</v>
      </c>
      <c r="V19">
        <v>0</v>
      </c>
      <c r="W19">
        <v>0</v>
      </c>
      <c r="Y19">
        <f t="shared" si="1"/>
        <v>0</v>
      </c>
    </row>
    <row r="20" spans="1:25" x14ac:dyDescent="0.3">
      <c r="A20" t="s">
        <v>106</v>
      </c>
      <c r="B20">
        <f t="shared" si="0"/>
        <v>1</v>
      </c>
      <c r="U20" t="s">
        <v>115</v>
      </c>
      <c r="V20">
        <v>0</v>
      </c>
      <c r="W20">
        <v>0</v>
      </c>
      <c r="Y20">
        <f t="shared" si="1"/>
        <v>0</v>
      </c>
    </row>
    <row r="21" spans="1:25" x14ac:dyDescent="0.3">
      <c r="A21" t="s">
        <v>117</v>
      </c>
      <c r="B21">
        <f t="shared" si="0"/>
        <v>0</v>
      </c>
      <c r="U21" t="s">
        <v>116</v>
      </c>
      <c r="V21">
        <v>1</v>
      </c>
      <c r="W21">
        <v>0</v>
      </c>
      <c r="Y21">
        <f t="shared" si="1"/>
        <v>1</v>
      </c>
    </row>
    <row r="22" spans="1:25" x14ac:dyDescent="0.3">
      <c r="A22" t="s">
        <v>109</v>
      </c>
      <c r="B22">
        <f t="shared" si="0"/>
        <v>0</v>
      </c>
      <c r="U22" t="s">
        <v>117</v>
      </c>
      <c r="V22">
        <v>0</v>
      </c>
      <c r="W22">
        <v>0</v>
      </c>
      <c r="Y22">
        <f t="shared" si="1"/>
        <v>0</v>
      </c>
    </row>
    <row r="23" spans="1:25" x14ac:dyDescent="0.3">
      <c r="A23" t="s">
        <v>115</v>
      </c>
      <c r="B23">
        <f t="shared" si="0"/>
        <v>0</v>
      </c>
      <c r="U23" t="s">
        <v>118</v>
      </c>
      <c r="V23">
        <v>0</v>
      </c>
      <c r="W23">
        <v>0</v>
      </c>
      <c r="Y23">
        <f t="shared" si="1"/>
        <v>0</v>
      </c>
    </row>
    <row r="24" spans="1:25" x14ac:dyDescent="0.3">
      <c r="A24" t="s">
        <v>114</v>
      </c>
      <c r="B24">
        <f t="shared" si="0"/>
        <v>0</v>
      </c>
      <c r="U24" t="s">
        <v>119</v>
      </c>
      <c r="V24">
        <v>0</v>
      </c>
      <c r="W24">
        <v>0</v>
      </c>
      <c r="Y24">
        <f t="shared" si="1"/>
        <v>0</v>
      </c>
    </row>
    <row r="25" spans="1:25" x14ac:dyDescent="0.3">
      <c r="A25" t="s">
        <v>118</v>
      </c>
      <c r="B25">
        <f t="shared" si="0"/>
        <v>0</v>
      </c>
      <c r="U25" t="s">
        <v>122</v>
      </c>
      <c r="V25">
        <v>0</v>
      </c>
      <c r="W25">
        <v>0</v>
      </c>
      <c r="Y25">
        <f t="shared" si="1"/>
        <v>0</v>
      </c>
    </row>
    <row r="26" spans="1:25" x14ac:dyDescent="0.3">
      <c r="A26" t="s">
        <v>119</v>
      </c>
      <c r="B26">
        <f t="shared" si="0"/>
        <v>0</v>
      </c>
      <c r="U26" t="s">
        <v>123</v>
      </c>
      <c r="V26">
        <v>0</v>
      </c>
      <c r="W26">
        <v>4</v>
      </c>
      <c r="Y26">
        <f t="shared" si="1"/>
        <v>4</v>
      </c>
    </row>
    <row r="27" spans="1:25" x14ac:dyDescent="0.3">
      <c r="A27" t="s">
        <v>122</v>
      </c>
      <c r="B27">
        <f t="shared" si="0"/>
        <v>0</v>
      </c>
      <c r="U27" t="s">
        <v>125</v>
      </c>
      <c r="V27">
        <v>0</v>
      </c>
      <c r="W27">
        <v>0</v>
      </c>
      <c r="Y27">
        <f t="shared" si="1"/>
        <v>0</v>
      </c>
    </row>
    <row r="28" spans="1:25" x14ac:dyDescent="0.3">
      <c r="A28" t="s">
        <v>125</v>
      </c>
      <c r="B28">
        <f t="shared" si="0"/>
        <v>0</v>
      </c>
      <c r="U28" t="s">
        <v>96</v>
      </c>
      <c r="V28">
        <v>0</v>
      </c>
      <c r="W28">
        <v>0</v>
      </c>
      <c r="X28">
        <v>58</v>
      </c>
      <c r="Y28">
        <f t="shared" si="1"/>
        <v>58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950D-C29F-4556-9083-81D40C8D6E7F}">
  <dimension ref="A1:Y28"/>
  <sheetViews>
    <sheetView zoomScaleNormal="100" workbookViewId="0">
      <selection activeCell="B28" sqref="B28"/>
    </sheetView>
  </sheetViews>
  <sheetFormatPr defaultRowHeight="16.5" x14ac:dyDescent="0.3"/>
  <cols>
    <col min="3" max="4" width="15.125" bestFit="1" customWidth="1"/>
    <col min="22" max="23" width="15.125" bestFit="1" customWidth="1"/>
  </cols>
  <sheetData>
    <row r="1" spans="1:25" x14ac:dyDescent="0.3">
      <c r="A1" t="s">
        <v>0</v>
      </c>
      <c r="B1" t="s">
        <v>1</v>
      </c>
      <c r="V1" t="s">
        <v>11</v>
      </c>
      <c r="W1" t="s">
        <v>12</v>
      </c>
      <c r="X1" t="s">
        <v>96</v>
      </c>
      <c r="Y1" t="s">
        <v>121</v>
      </c>
    </row>
    <row r="2" spans="1:25" x14ac:dyDescent="0.3">
      <c r="A2" t="s">
        <v>96</v>
      </c>
      <c r="B2">
        <f t="shared" ref="B2:B28" si="0">VLOOKUP(A2,$U$2:$Y$28,5,0)</f>
        <v>60</v>
      </c>
      <c r="U2" t="s">
        <v>97</v>
      </c>
      <c r="V2">
        <v>6</v>
      </c>
      <c r="W2">
        <v>1</v>
      </c>
      <c r="Y2">
        <f>V2+W2+X2</f>
        <v>7</v>
      </c>
    </row>
    <row r="3" spans="1:25" x14ac:dyDescent="0.3">
      <c r="A3" t="s">
        <v>103</v>
      </c>
      <c r="B3">
        <f t="shared" si="0"/>
        <v>15</v>
      </c>
      <c r="U3" t="s">
        <v>98</v>
      </c>
      <c r="V3">
        <v>9</v>
      </c>
      <c r="W3">
        <v>2</v>
      </c>
      <c r="Y3">
        <f t="shared" ref="Y3:Y28" si="1">V3+W3+X3</f>
        <v>11</v>
      </c>
    </row>
    <row r="4" spans="1:25" x14ac:dyDescent="0.3">
      <c r="A4" t="s">
        <v>99</v>
      </c>
      <c r="B4">
        <f t="shared" si="0"/>
        <v>14</v>
      </c>
      <c r="U4" t="s">
        <v>99</v>
      </c>
      <c r="V4">
        <v>11</v>
      </c>
      <c r="W4">
        <v>3</v>
      </c>
      <c r="Y4">
        <f t="shared" si="1"/>
        <v>14</v>
      </c>
    </row>
    <row r="5" spans="1:25" x14ac:dyDescent="0.3">
      <c r="A5" t="s">
        <v>98</v>
      </c>
      <c r="B5">
        <f t="shared" si="0"/>
        <v>11</v>
      </c>
      <c r="U5" t="s">
        <v>100</v>
      </c>
      <c r="V5">
        <v>2</v>
      </c>
      <c r="W5">
        <v>0</v>
      </c>
      <c r="Y5">
        <f t="shared" si="1"/>
        <v>2</v>
      </c>
    </row>
    <row r="6" spans="1:25" x14ac:dyDescent="0.3">
      <c r="A6" t="s">
        <v>97</v>
      </c>
      <c r="B6">
        <f t="shared" si="0"/>
        <v>7</v>
      </c>
      <c r="U6" t="s">
        <v>101</v>
      </c>
      <c r="V6">
        <v>1</v>
      </c>
      <c r="W6">
        <v>0</v>
      </c>
      <c r="Y6">
        <f t="shared" si="1"/>
        <v>1</v>
      </c>
    </row>
    <row r="7" spans="1:25" x14ac:dyDescent="0.3">
      <c r="A7" t="s">
        <v>110</v>
      </c>
      <c r="B7">
        <f t="shared" si="0"/>
        <v>5</v>
      </c>
      <c r="U7" t="s">
        <v>102</v>
      </c>
      <c r="V7">
        <v>1</v>
      </c>
      <c r="W7">
        <v>0</v>
      </c>
      <c r="Y7">
        <f t="shared" si="1"/>
        <v>1</v>
      </c>
    </row>
    <row r="8" spans="1:25" x14ac:dyDescent="0.3">
      <c r="A8" t="s">
        <v>123</v>
      </c>
      <c r="B8">
        <f t="shared" si="0"/>
        <v>4</v>
      </c>
      <c r="U8" t="s">
        <v>103</v>
      </c>
      <c r="V8">
        <v>13</v>
      </c>
      <c r="W8">
        <v>2</v>
      </c>
      <c r="Y8">
        <f t="shared" si="1"/>
        <v>15</v>
      </c>
    </row>
    <row r="9" spans="1:25" x14ac:dyDescent="0.3">
      <c r="A9" t="s">
        <v>105</v>
      </c>
      <c r="B9">
        <f t="shared" si="0"/>
        <v>3</v>
      </c>
      <c r="U9" t="s">
        <v>104</v>
      </c>
      <c r="V9">
        <v>2</v>
      </c>
      <c r="W9">
        <v>0</v>
      </c>
      <c r="Y9">
        <f t="shared" si="1"/>
        <v>2</v>
      </c>
    </row>
    <row r="10" spans="1:25" x14ac:dyDescent="0.3">
      <c r="A10" t="s">
        <v>111</v>
      </c>
      <c r="B10">
        <f t="shared" si="0"/>
        <v>3</v>
      </c>
      <c r="U10" t="s">
        <v>105</v>
      </c>
      <c r="V10">
        <v>3</v>
      </c>
      <c r="W10">
        <v>0</v>
      </c>
      <c r="Y10">
        <f t="shared" si="1"/>
        <v>3</v>
      </c>
    </row>
    <row r="11" spans="1:25" x14ac:dyDescent="0.3">
      <c r="A11" t="s">
        <v>104</v>
      </c>
      <c r="B11">
        <f t="shared" si="0"/>
        <v>2</v>
      </c>
      <c r="U11" t="s">
        <v>106</v>
      </c>
      <c r="V11">
        <v>1</v>
      </c>
      <c r="W11">
        <v>0</v>
      </c>
      <c r="Y11">
        <f t="shared" si="1"/>
        <v>1</v>
      </c>
    </row>
    <row r="12" spans="1:25" x14ac:dyDescent="0.3">
      <c r="A12" t="s">
        <v>100</v>
      </c>
      <c r="B12">
        <f t="shared" si="0"/>
        <v>2</v>
      </c>
      <c r="U12" t="s">
        <v>107</v>
      </c>
      <c r="V12">
        <v>0</v>
      </c>
      <c r="W12">
        <v>0</v>
      </c>
      <c r="Y12">
        <f t="shared" si="1"/>
        <v>0</v>
      </c>
    </row>
    <row r="13" spans="1:25" x14ac:dyDescent="0.3">
      <c r="A13" t="s">
        <v>116</v>
      </c>
      <c r="B13">
        <f t="shared" si="0"/>
        <v>2</v>
      </c>
      <c r="U13" t="s">
        <v>108</v>
      </c>
      <c r="V13">
        <v>1</v>
      </c>
      <c r="W13">
        <v>0</v>
      </c>
      <c r="Y13">
        <f t="shared" si="1"/>
        <v>1</v>
      </c>
    </row>
    <row r="14" spans="1:25" x14ac:dyDescent="0.3">
      <c r="A14" t="s">
        <v>102</v>
      </c>
      <c r="B14">
        <f t="shared" si="0"/>
        <v>1</v>
      </c>
      <c r="U14" t="s">
        <v>109</v>
      </c>
      <c r="V14">
        <v>0</v>
      </c>
      <c r="W14">
        <v>0</v>
      </c>
      <c r="Y14">
        <f t="shared" si="1"/>
        <v>0</v>
      </c>
    </row>
    <row r="15" spans="1:25" x14ac:dyDescent="0.3">
      <c r="A15" t="s">
        <v>108</v>
      </c>
      <c r="B15">
        <f t="shared" si="0"/>
        <v>1</v>
      </c>
      <c r="U15" t="s">
        <v>110</v>
      </c>
      <c r="V15">
        <v>5</v>
      </c>
      <c r="W15">
        <v>0</v>
      </c>
      <c r="Y15">
        <f t="shared" si="1"/>
        <v>5</v>
      </c>
    </row>
    <row r="16" spans="1:25" x14ac:dyDescent="0.3">
      <c r="A16" t="s">
        <v>101</v>
      </c>
      <c r="B16">
        <f t="shared" si="0"/>
        <v>1</v>
      </c>
      <c r="U16" t="s">
        <v>111</v>
      </c>
      <c r="V16">
        <v>3</v>
      </c>
      <c r="W16">
        <v>0</v>
      </c>
      <c r="Y16">
        <f t="shared" si="1"/>
        <v>3</v>
      </c>
    </row>
    <row r="17" spans="1:25" x14ac:dyDescent="0.3">
      <c r="A17" t="s">
        <v>106</v>
      </c>
      <c r="B17">
        <f t="shared" si="0"/>
        <v>1</v>
      </c>
      <c r="U17" t="s">
        <v>112</v>
      </c>
      <c r="V17">
        <v>0</v>
      </c>
      <c r="W17">
        <v>0</v>
      </c>
      <c r="Y17">
        <f t="shared" si="1"/>
        <v>0</v>
      </c>
    </row>
    <row r="18" spans="1:25" x14ac:dyDescent="0.3">
      <c r="A18" t="s">
        <v>113</v>
      </c>
      <c r="B18">
        <f t="shared" si="0"/>
        <v>0</v>
      </c>
      <c r="U18" t="s">
        <v>113</v>
      </c>
      <c r="V18">
        <v>0</v>
      </c>
      <c r="W18">
        <v>0</v>
      </c>
      <c r="Y18">
        <f t="shared" si="1"/>
        <v>0</v>
      </c>
    </row>
    <row r="19" spans="1:25" x14ac:dyDescent="0.3">
      <c r="A19" t="s">
        <v>112</v>
      </c>
      <c r="B19">
        <f t="shared" si="0"/>
        <v>0</v>
      </c>
      <c r="U19" t="s">
        <v>114</v>
      </c>
      <c r="V19">
        <v>0</v>
      </c>
      <c r="W19">
        <v>0</v>
      </c>
      <c r="Y19">
        <f t="shared" si="1"/>
        <v>0</v>
      </c>
    </row>
    <row r="20" spans="1:25" x14ac:dyDescent="0.3">
      <c r="A20" t="s">
        <v>107</v>
      </c>
      <c r="B20">
        <f t="shared" si="0"/>
        <v>0</v>
      </c>
      <c r="U20" t="s">
        <v>115</v>
      </c>
      <c r="V20">
        <v>0</v>
      </c>
      <c r="W20">
        <v>0</v>
      </c>
      <c r="Y20">
        <f t="shared" si="1"/>
        <v>0</v>
      </c>
    </row>
    <row r="21" spans="1:25" x14ac:dyDescent="0.3">
      <c r="A21" t="s">
        <v>117</v>
      </c>
      <c r="B21">
        <f t="shared" si="0"/>
        <v>0</v>
      </c>
      <c r="U21" t="s">
        <v>116</v>
      </c>
      <c r="V21">
        <v>2</v>
      </c>
      <c r="W21">
        <v>0</v>
      </c>
      <c r="Y21">
        <f t="shared" si="1"/>
        <v>2</v>
      </c>
    </row>
    <row r="22" spans="1:25" x14ac:dyDescent="0.3">
      <c r="A22" t="s">
        <v>109</v>
      </c>
      <c r="B22">
        <f t="shared" si="0"/>
        <v>0</v>
      </c>
      <c r="U22" t="s">
        <v>117</v>
      </c>
      <c r="V22">
        <v>0</v>
      </c>
      <c r="W22">
        <v>0</v>
      </c>
      <c r="Y22">
        <f t="shared" si="1"/>
        <v>0</v>
      </c>
    </row>
    <row r="23" spans="1:25" x14ac:dyDescent="0.3">
      <c r="A23" t="s">
        <v>115</v>
      </c>
      <c r="B23">
        <f t="shared" si="0"/>
        <v>0</v>
      </c>
      <c r="U23" t="s">
        <v>118</v>
      </c>
      <c r="V23">
        <v>0</v>
      </c>
      <c r="W23">
        <v>0</v>
      </c>
      <c r="Y23">
        <f t="shared" si="1"/>
        <v>0</v>
      </c>
    </row>
    <row r="24" spans="1:25" x14ac:dyDescent="0.3">
      <c r="A24" t="s">
        <v>114</v>
      </c>
      <c r="B24">
        <f t="shared" si="0"/>
        <v>0</v>
      </c>
      <c r="U24" t="s">
        <v>119</v>
      </c>
      <c r="V24">
        <v>0</v>
      </c>
      <c r="W24">
        <v>0</v>
      </c>
      <c r="Y24">
        <f t="shared" si="1"/>
        <v>0</v>
      </c>
    </row>
    <row r="25" spans="1:25" x14ac:dyDescent="0.3">
      <c r="A25" t="s">
        <v>118</v>
      </c>
      <c r="B25">
        <f t="shared" si="0"/>
        <v>0</v>
      </c>
      <c r="U25" t="s">
        <v>122</v>
      </c>
      <c r="V25">
        <v>0</v>
      </c>
      <c r="W25">
        <v>0</v>
      </c>
      <c r="Y25">
        <f t="shared" si="1"/>
        <v>0</v>
      </c>
    </row>
    <row r="26" spans="1:25" x14ac:dyDescent="0.3">
      <c r="A26" t="s">
        <v>119</v>
      </c>
      <c r="B26">
        <f t="shared" si="0"/>
        <v>0</v>
      </c>
      <c r="U26" t="s">
        <v>123</v>
      </c>
      <c r="V26">
        <v>0</v>
      </c>
      <c r="W26">
        <v>4</v>
      </c>
      <c r="Y26">
        <f t="shared" si="1"/>
        <v>4</v>
      </c>
    </row>
    <row r="27" spans="1:25" x14ac:dyDescent="0.3">
      <c r="A27" t="s">
        <v>122</v>
      </c>
      <c r="B27">
        <f t="shared" si="0"/>
        <v>0</v>
      </c>
      <c r="U27" t="s">
        <v>125</v>
      </c>
      <c r="V27">
        <v>0</v>
      </c>
      <c r="W27">
        <v>0</v>
      </c>
      <c r="Y27">
        <f t="shared" si="1"/>
        <v>0</v>
      </c>
    </row>
    <row r="28" spans="1:25" x14ac:dyDescent="0.3">
      <c r="A28" t="s">
        <v>125</v>
      </c>
      <c r="B28">
        <f t="shared" si="0"/>
        <v>0</v>
      </c>
      <c r="U28" t="s">
        <v>96</v>
      </c>
      <c r="V28">
        <v>0</v>
      </c>
      <c r="W28">
        <v>0</v>
      </c>
      <c r="X28">
        <v>60</v>
      </c>
      <c r="Y28">
        <f t="shared" si="1"/>
        <v>60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DE0C4-0AB9-4207-A4AB-91C0D260E1EC}">
  <dimension ref="A1:Y28"/>
  <sheetViews>
    <sheetView topLeftCell="A28" zoomScaleNormal="100" workbookViewId="0">
      <selection activeCell="S44" sqref="S44"/>
    </sheetView>
  </sheetViews>
  <sheetFormatPr defaultRowHeight="16.5" x14ac:dyDescent="0.3"/>
  <cols>
    <col min="3" max="4" width="15.125" bestFit="1" customWidth="1"/>
    <col min="22" max="23" width="15.125" bestFit="1" customWidth="1"/>
  </cols>
  <sheetData>
    <row r="1" spans="1:25" x14ac:dyDescent="0.3">
      <c r="A1" t="s">
        <v>0</v>
      </c>
      <c r="B1" t="s">
        <v>1</v>
      </c>
      <c r="V1" t="s">
        <v>11</v>
      </c>
      <c r="W1" t="s">
        <v>12</v>
      </c>
      <c r="X1" t="s">
        <v>96</v>
      </c>
      <c r="Y1" t="s">
        <v>121</v>
      </c>
    </row>
    <row r="2" spans="1:25" x14ac:dyDescent="0.3">
      <c r="A2" t="s">
        <v>96</v>
      </c>
      <c r="B2">
        <f t="shared" ref="B2:B28" si="0">VLOOKUP(A2,$U$2:$Y$28,5,0)</f>
        <v>52</v>
      </c>
      <c r="U2" t="s">
        <v>97</v>
      </c>
      <c r="V2">
        <v>3</v>
      </c>
      <c r="W2">
        <v>3</v>
      </c>
      <c r="Y2">
        <f>V2+W2+X2</f>
        <v>6</v>
      </c>
    </row>
    <row r="3" spans="1:25" x14ac:dyDescent="0.3">
      <c r="A3" t="s">
        <v>99</v>
      </c>
      <c r="B3">
        <f t="shared" si="0"/>
        <v>16</v>
      </c>
      <c r="U3" t="s">
        <v>98</v>
      </c>
      <c r="V3">
        <v>14</v>
      </c>
      <c r="W3">
        <v>1</v>
      </c>
      <c r="Y3">
        <f t="shared" ref="Y3:Y28" si="1">V3+W3+X3</f>
        <v>15</v>
      </c>
    </row>
    <row r="4" spans="1:25" x14ac:dyDescent="0.3">
      <c r="A4" t="s">
        <v>98</v>
      </c>
      <c r="B4">
        <f t="shared" si="0"/>
        <v>15</v>
      </c>
      <c r="U4" t="s">
        <v>99</v>
      </c>
      <c r="V4">
        <v>9</v>
      </c>
      <c r="W4">
        <v>7</v>
      </c>
      <c r="Y4">
        <f t="shared" si="1"/>
        <v>16</v>
      </c>
    </row>
    <row r="5" spans="1:25" x14ac:dyDescent="0.3">
      <c r="A5" t="s">
        <v>103</v>
      </c>
      <c r="B5">
        <f t="shared" si="0"/>
        <v>9</v>
      </c>
      <c r="U5" t="s">
        <v>100</v>
      </c>
      <c r="V5">
        <v>3</v>
      </c>
      <c r="W5">
        <v>0</v>
      </c>
      <c r="Y5">
        <f t="shared" si="1"/>
        <v>3</v>
      </c>
    </row>
    <row r="6" spans="1:25" x14ac:dyDescent="0.3">
      <c r="A6" t="s">
        <v>123</v>
      </c>
      <c r="B6">
        <f t="shared" si="0"/>
        <v>8</v>
      </c>
      <c r="U6" t="s">
        <v>101</v>
      </c>
      <c r="V6">
        <v>3</v>
      </c>
      <c r="W6">
        <v>0</v>
      </c>
      <c r="Y6">
        <f t="shared" si="1"/>
        <v>3</v>
      </c>
    </row>
    <row r="7" spans="1:25" x14ac:dyDescent="0.3">
      <c r="A7" t="s">
        <v>97</v>
      </c>
      <c r="B7">
        <f t="shared" si="0"/>
        <v>6</v>
      </c>
      <c r="U7" t="s">
        <v>102</v>
      </c>
      <c r="V7">
        <v>1</v>
      </c>
      <c r="W7">
        <v>0</v>
      </c>
      <c r="Y7">
        <f t="shared" si="1"/>
        <v>1</v>
      </c>
    </row>
    <row r="8" spans="1:25" x14ac:dyDescent="0.3">
      <c r="A8" t="s">
        <v>111</v>
      </c>
      <c r="B8">
        <f t="shared" si="0"/>
        <v>6</v>
      </c>
      <c r="U8" t="s">
        <v>103</v>
      </c>
      <c r="V8">
        <v>8</v>
      </c>
      <c r="W8">
        <v>1</v>
      </c>
      <c r="Y8">
        <f t="shared" si="1"/>
        <v>9</v>
      </c>
    </row>
    <row r="9" spans="1:25" x14ac:dyDescent="0.3">
      <c r="A9" t="s">
        <v>104</v>
      </c>
      <c r="B9">
        <f t="shared" si="0"/>
        <v>6</v>
      </c>
      <c r="U9" t="s">
        <v>104</v>
      </c>
      <c r="V9">
        <v>6</v>
      </c>
      <c r="W9">
        <v>0</v>
      </c>
      <c r="Y9">
        <f t="shared" si="1"/>
        <v>6</v>
      </c>
    </row>
    <row r="10" spans="1:25" x14ac:dyDescent="0.3">
      <c r="A10" t="s">
        <v>105</v>
      </c>
      <c r="B10">
        <f t="shared" si="0"/>
        <v>3</v>
      </c>
      <c r="U10" t="s">
        <v>105</v>
      </c>
      <c r="V10">
        <v>3</v>
      </c>
      <c r="W10">
        <v>0</v>
      </c>
      <c r="Y10">
        <f t="shared" si="1"/>
        <v>3</v>
      </c>
    </row>
    <row r="11" spans="1:25" x14ac:dyDescent="0.3">
      <c r="A11" t="s">
        <v>100</v>
      </c>
      <c r="B11">
        <f t="shared" si="0"/>
        <v>3</v>
      </c>
      <c r="U11" t="s">
        <v>106</v>
      </c>
      <c r="V11">
        <v>1</v>
      </c>
      <c r="W11">
        <v>0</v>
      </c>
      <c r="Y11">
        <f t="shared" si="1"/>
        <v>1</v>
      </c>
    </row>
    <row r="12" spans="1:25" x14ac:dyDescent="0.3">
      <c r="A12" t="s">
        <v>101</v>
      </c>
      <c r="B12">
        <f t="shared" si="0"/>
        <v>3</v>
      </c>
      <c r="U12" t="s">
        <v>107</v>
      </c>
      <c r="V12">
        <v>0</v>
      </c>
      <c r="W12">
        <v>0</v>
      </c>
      <c r="Y12">
        <f t="shared" si="1"/>
        <v>0</v>
      </c>
    </row>
    <row r="13" spans="1:25" x14ac:dyDescent="0.3">
      <c r="A13" t="s">
        <v>110</v>
      </c>
      <c r="B13">
        <f t="shared" si="0"/>
        <v>2</v>
      </c>
      <c r="U13" t="s">
        <v>108</v>
      </c>
      <c r="V13">
        <v>0</v>
      </c>
      <c r="W13">
        <v>0</v>
      </c>
      <c r="Y13">
        <f t="shared" si="1"/>
        <v>0</v>
      </c>
    </row>
    <row r="14" spans="1:25" x14ac:dyDescent="0.3">
      <c r="A14" t="s">
        <v>113</v>
      </c>
      <c r="B14">
        <f t="shared" si="0"/>
        <v>2</v>
      </c>
      <c r="U14" t="s">
        <v>109</v>
      </c>
      <c r="V14">
        <v>0</v>
      </c>
      <c r="W14">
        <v>1</v>
      </c>
      <c r="Y14">
        <f t="shared" si="1"/>
        <v>1</v>
      </c>
    </row>
    <row r="15" spans="1:25" x14ac:dyDescent="0.3">
      <c r="A15" t="s">
        <v>112</v>
      </c>
      <c r="B15">
        <f t="shared" si="0"/>
        <v>2</v>
      </c>
      <c r="U15" t="s">
        <v>110</v>
      </c>
      <c r="V15">
        <v>2</v>
      </c>
      <c r="W15">
        <v>0</v>
      </c>
      <c r="Y15">
        <f t="shared" si="1"/>
        <v>2</v>
      </c>
    </row>
    <row r="16" spans="1:25" x14ac:dyDescent="0.3">
      <c r="A16" t="s">
        <v>102</v>
      </c>
      <c r="B16">
        <f t="shared" si="0"/>
        <v>1</v>
      </c>
      <c r="U16" t="s">
        <v>111</v>
      </c>
      <c r="V16">
        <v>6</v>
      </c>
      <c r="W16">
        <v>0</v>
      </c>
      <c r="Y16">
        <f t="shared" si="1"/>
        <v>6</v>
      </c>
    </row>
    <row r="17" spans="1:25" x14ac:dyDescent="0.3">
      <c r="A17" t="s">
        <v>106</v>
      </c>
      <c r="B17">
        <f t="shared" si="0"/>
        <v>1</v>
      </c>
      <c r="U17" t="s">
        <v>112</v>
      </c>
      <c r="V17">
        <v>2</v>
      </c>
      <c r="W17">
        <v>0</v>
      </c>
      <c r="Y17">
        <f t="shared" si="1"/>
        <v>2</v>
      </c>
    </row>
    <row r="18" spans="1:25" x14ac:dyDescent="0.3">
      <c r="A18" t="s">
        <v>109</v>
      </c>
      <c r="B18">
        <f t="shared" si="0"/>
        <v>1</v>
      </c>
      <c r="U18" t="s">
        <v>113</v>
      </c>
      <c r="V18">
        <v>2</v>
      </c>
      <c r="W18">
        <v>0</v>
      </c>
      <c r="Y18">
        <f t="shared" si="1"/>
        <v>2</v>
      </c>
    </row>
    <row r="19" spans="1:25" x14ac:dyDescent="0.3">
      <c r="A19" t="s">
        <v>118</v>
      </c>
      <c r="B19">
        <f t="shared" si="0"/>
        <v>1</v>
      </c>
      <c r="U19" t="s">
        <v>114</v>
      </c>
      <c r="V19">
        <v>0</v>
      </c>
      <c r="W19">
        <v>0</v>
      </c>
      <c r="Y19">
        <f t="shared" si="1"/>
        <v>0</v>
      </c>
    </row>
    <row r="20" spans="1:25" x14ac:dyDescent="0.3">
      <c r="A20" t="s">
        <v>116</v>
      </c>
      <c r="B20">
        <f t="shared" si="0"/>
        <v>0</v>
      </c>
      <c r="U20" t="s">
        <v>115</v>
      </c>
      <c r="V20">
        <v>0</v>
      </c>
      <c r="W20">
        <v>0</v>
      </c>
      <c r="Y20">
        <f t="shared" si="1"/>
        <v>0</v>
      </c>
    </row>
    <row r="21" spans="1:25" x14ac:dyDescent="0.3">
      <c r="A21" t="s">
        <v>108</v>
      </c>
      <c r="B21">
        <f t="shared" si="0"/>
        <v>0</v>
      </c>
      <c r="U21" t="s">
        <v>116</v>
      </c>
      <c r="V21">
        <v>0</v>
      </c>
      <c r="W21">
        <v>0</v>
      </c>
      <c r="Y21">
        <f t="shared" si="1"/>
        <v>0</v>
      </c>
    </row>
    <row r="22" spans="1:25" x14ac:dyDescent="0.3">
      <c r="A22" t="s">
        <v>107</v>
      </c>
      <c r="B22">
        <f t="shared" si="0"/>
        <v>0</v>
      </c>
      <c r="U22" t="s">
        <v>117</v>
      </c>
      <c r="V22">
        <v>0</v>
      </c>
      <c r="W22">
        <v>0</v>
      </c>
      <c r="Y22">
        <f t="shared" si="1"/>
        <v>0</v>
      </c>
    </row>
    <row r="23" spans="1:25" x14ac:dyDescent="0.3">
      <c r="A23" t="s">
        <v>117</v>
      </c>
      <c r="B23">
        <f t="shared" si="0"/>
        <v>0</v>
      </c>
      <c r="U23" t="s">
        <v>118</v>
      </c>
      <c r="V23">
        <v>1</v>
      </c>
      <c r="W23">
        <v>0</v>
      </c>
      <c r="Y23">
        <f t="shared" si="1"/>
        <v>1</v>
      </c>
    </row>
    <row r="24" spans="1:25" x14ac:dyDescent="0.3">
      <c r="A24" t="s">
        <v>115</v>
      </c>
      <c r="B24">
        <f t="shared" si="0"/>
        <v>0</v>
      </c>
      <c r="U24" t="s">
        <v>119</v>
      </c>
      <c r="V24">
        <v>0</v>
      </c>
      <c r="W24">
        <v>0</v>
      </c>
      <c r="Y24">
        <f t="shared" si="1"/>
        <v>0</v>
      </c>
    </row>
    <row r="25" spans="1:25" x14ac:dyDescent="0.3">
      <c r="A25" t="s">
        <v>114</v>
      </c>
      <c r="B25">
        <f t="shared" si="0"/>
        <v>0</v>
      </c>
      <c r="U25" t="s">
        <v>122</v>
      </c>
      <c r="V25">
        <v>0</v>
      </c>
      <c r="W25">
        <v>0</v>
      </c>
      <c r="Y25">
        <f t="shared" si="1"/>
        <v>0</v>
      </c>
    </row>
    <row r="26" spans="1:25" x14ac:dyDescent="0.3">
      <c r="A26" t="s">
        <v>119</v>
      </c>
      <c r="B26">
        <f t="shared" si="0"/>
        <v>0</v>
      </c>
      <c r="U26" t="s">
        <v>123</v>
      </c>
      <c r="V26">
        <v>0</v>
      </c>
      <c r="W26">
        <v>8</v>
      </c>
      <c r="Y26">
        <f t="shared" si="1"/>
        <v>8</v>
      </c>
    </row>
    <row r="27" spans="1:25" x14ac:dyDescent="0.3">
      <c r="A27" t="s">
        <v>122</v>
      </c>
      <c r="B27">
        <f t="shared" si="0"/>
        <v>0</v>
      </c>
      <c r="U27" t="s">
        <v>125</v>
      </c>
      <c r="V27">
        <v>0</v>
      </c>
      <c r="W27">
        <v>0</v>
      </c>
      <c r="Y27">
        <f t="shared" si="1"/>
        <v>0</v>
      </c>
    </row>
    <row r="28" spans="1:25" x14ac:dyDescent="0.3">
      <c r="A28" t="s">
        <v>125</v>
      </c>
      <c r="B28">
        <f t="shared" si="0"/>
        <v>0</v>
      </c>
      <c r="U28" t="s">
        <v>96</v>
      </c>
      <c r="V28">
        <v>0</v>
      </c>
      <c r="W28">
        <v>0</v>
      </c>
      <c r="X28">
        <v>52</v>
      </c>
      <c r="Y28">
        <f t="shared" si="1"/>
        <v>52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8452B-A578-43E3-8C45-B1DB45547B63}">
  <dimension ref="A1:Y28"/>
  <sheetViews>
    <sheetView topLeftCell="A13" zoomScaleNormal="100" workbookViewId="0">
      <selection activeCell="N51" sqref="N51"/>
    </sheetView>
  </sheetViews>
  <sheetFormatPr defaultRowHeight="16.5" x14ac:dyDescent="0.3"/>
  <cols>
    <col min="3" max="4" width="15.125" bestFit="1" customWidth="1"/>
    <col min="22" max="23" width="15.125" bestFit="1" customWidth="1"/>
  </cols>
  <sheetData>
    <row r="1" spans="1:25" x14ac:dyDescent="0.3">
      <c r="A1" t="s">
        <v>0</v>
      </c>
      <c r="B1" t="s">
        <v>1</v>
      </c>
      <c r="V1" t="s">
        <v>11</v>
      </c>
      <c r="W1" t="s">
        <v>12</v>
      </c>
      <c r="X1" t="s">
        <v>96</v>
      </c>
      <c r="Y1" t="s">
        <v>121</v>
      </c>
    </row>
    <row r="2" spans="1:25" x14ac:dyDescent="0.3">
      <c r="A2" t="s">
        <v>96</v>
      </c>
      <c r="B2">
        <f t="shared" ref="B2:B28" si="0">VLOOKUP(A2,$U$2:$Y$28,5,0)</f>
        <v>37</v>
      </c>
      <c r="U2" t="s">
        <v>97</v>
      </c>
      <c r="V2">
        <v>4</v>
      </c>
      <c r="W2">
        <v>1</v>
      </c>
      <c r="Y2">
        <f>V2+W2+X2</f>
        <v>5</v>
      </c>
    </row>
    <row r="3" spans="1:25" x14ac:dyDescent="0.3">
      <c r="A3" t="s">
        <v>103</v>
      </c>
      <c r="B3">
        <f t="shared" si="0"/>
        <v>19</v>
      </c>
      <c r="U3" t="s">
        <v>98</v>
      </c>
      <c r="V3">
        <v>11</v>
      </c>
      <c r="W3">
        <v>3</v>
      </c>
      <c r="Y3">
        <f t="shared" ref="Y3:Y28" si="1">V3+W3+X3</f>
        <v>14</v>
      </c>
    </row>
    <row r="4" spans="1:25" x14ac:dyDescent="0.3">
      <c r="A4" t="s">
        <v>98</v>
      </c>
      <c r="B4">
        <f t="shared" si="0"/>
        <v>14</v>
      </c>
      <c r="U4" t="s">
        <v>99</v>
      </c>
      <c r="V4">
        <v>6</v>
      </c>
      <c r="W4">
        <v>2</v>
      </c>
      <c r="Y4">
        <f t="shared" si="1"/>
        <v>8</v>
      </c>
    </row>
    <row r="5" spans="1:25" x14ac:dyDescent="0.3">
      <c r="A5" t="s">
        <v>99</v>
      </c>
      <c r="B5">
        <f t="shared" si="0"/>
        <v>8</v>
      </c>
      <c r="U5" t="s">
        <v>100</v>
      </c>
      <c r="V5">
        <v>4</v>
      </c>
      <c r="W5">
        <v>2</v>
      </c>
      <c r="Y5">
        <f t="shared" si="1"/>
        <v>6</v>
      </c>
    </row>
    <row r="6" spans="1:25" x14ac:dyDescent="0.3">
      <c r="A6" t="s">
        <v>100</v>
      </c>
      <c r="B6">
        <f t="shared" si="0"/>
        <v>6</v>
      </c>
      <c r="U6" t="s">
        <v>101</v>
      </c>
      <c r="V6">
        <v>2</v>
      </c>
      <c r="W6">
        <v>0</v>
      </c>
      <c r="Y6">
        <f t="shared" si="1"/>
        <v>2</v>
      </c>
    </row>
    <row r="7" spans="1:25" x14ac:dyDescent="0.3">
      <c r="A7" t="s">
        <v>97</v>
      </c>
      <c r="B7">
        <f t="shared" si="0"/>
        <v>5</v>
      </c>
      <c r="U7" t="s">
        <v>102</v>
      </c>
      <c r="V7">
        <v>2</v>
      </c>
      <c r="W7">
        <v>0</v>
      </c>
      <c r="Y7">
        <f t="shared" si="1"/>
        <v>2</v>
      </c>
    </row>
    <row r="8" spans="1:25" x14ac:dyDescent="0.3">
      <c r="A8" t="s">
        <v>104</v>
      </c>
      <c r="B8">
        <f t="shared" si="0"/>
        <v>4</v>
      </c>
      <c r="U8" t="s">
        <v>103</v>
      </c>
      <c r="V8">
        <v>18</v>
      </c>
      <c r="W8">
        <v>1</v>
      </c>
      <c r="Y8">
        <f t="shared" si="1"/>
        <v>19</v>
      </c>
    </row>
    <row r="9" spans="1:25" x14ac:dyDescent="0.3">
      <c r="A9" t="s">
        <v>112</v>
      </c>
      <c r="B9">
        <f t="shared" si="0"/>
        <v>3</v>
      </c>
      <c r="U9" t="s">
        <v>104</v>
      </c>
      <c r="V9">
        <v>4</v>
      </c>
      <c r="W9">
        <v>0</v>
      </c>
      <c r="Y9">
        <f t="shared" si="1"/>
        <v>4</v>
      </c>
    </row>
    <row r="10" spans="1:25" x14ac:dyDescent="0.3">
      <c r="A10" t="s">
        <v>123</v>
      </c>
      <c r="B10">
        <f t="shared" si="0"/>
        <v>2</v>
      </c>
      <c r="U10" t="s">
        <v>105</v>
      </c>
      <c r="V10">
        <v>1</v>
      </c>
      <c r="W10">
        <v>0</v>
      </c>
      <c r="Y10">
        <f t="shared" si="1"/>
        <v>1</v>
      </c>
    </row>
    <row r="11" spans="1:25" x14ac:dyDescent="0.3">
      <c r="A11" t="s">
        <v>101</v>
      </c>
      <c r="B11">
        <f t="shared" si="0"/>
        <v>2</v>
      </c>
      <c r="U11" t="s">
        <v>106</v>
      </c>
      <c r="V11">
        <v>0</v>
      </c>
      <c r="W11">
        <v>0</v>
      </c>
      <c r="Y11">
        <f t="shared" si="1"/>
        <v>0</v>
      </c>
    </row>
    <row r="12" spans="1:25" x14ac:dyDescent="0.3">
      <c r="A12" t="s">
        <v>113</v>
      </c>
      <c r="B12">
        <f t="shared" si="0"/>
        <v>2</v>
      </c>
      <c r="U12" t="s">
        <v>107</v>
      </c>
      <c r="V12">
        <v>1</v>
      </c>
      <c r="W12">
        <v>0</v>
      </c>
      <c r="Y12">
        <f t="shared" si="1"/>
        <v>1</v>
      </c>
    </row>
    <row r="13" spans="1:25" x14ac:dyDescent="0.3">
      <c r="A13" t="s">
        <v>102</v>
      </c>
      <c r="B13">
        <f t="shared" si="0"/>
        <v>2</v>
      </c>
      <c r="U13" t="s">
        <v>108</v>
      </c>
      <c r="V13">
        <v>1</v>
      </c>
      <c r="W13">
        <v>0</v>
      </c>
      <c r="Y13">
        <f t="shared" si="1"/>
        <v>1</v>
      </c>
    </row>
    <row r="14" spans="1:25" x14ac:dyDescent="0.3">
      <c r="A14" t="s">
        <v>116</v>
      </c>
      <c r="B14">
        <f t="shared" si="0"/>
        <v>2</v>
      </c>
      <c r="U14" t="s">
        <v>109</v>
      </c>
      <c r="V14">
        <v>1</v>
      </c>
      <c r="W14">
        <v>0</v>
      </c>
      <c r="Y14">
        <f t="shared" si="1"/>
        <v>1</v>
      </c>
    </row>
    <row r="15" spans="1:25" x14ac:dyDescent="0.3">
      <c r="A15" t="s">
        <v>111</v>
      </c>
      <c r="B15">
        <f t="shared" si="0"/>
        <v>1</v>
      </c>
      <c r="U15" t="s">
        <v>110</v>
      </c>
      <c r="V15">
        <v>0</v>
      </c>
      <c r="W15">
        <v>1</v>
      </c>
      <c r="Y15">
        <f t="shared" si="1"/>
        <v>1</v>
      </c>
    </row>
    <row r="16" spans="1:25" x14ac:dyDescent="0.3">
      <c r="A16" t="s">
        <v>105</v>
      </c>
      <c r="B16">
        <f t="shared" si="0"/>
        <v>1</v>
      </c>
      <c r="U16" t="s">
        <v>111</v>
      </c>
      <c r="V16">
        <v>1</v>
      </c>
      <c r="W16">
        <v>0</v>
      </c>
      <c r="Y16">
        <f t="shared" si="1"/>
        <v>1</v>
      </c>
    </row>
    <row r="17" spans="1:25" x14ac:dyDescent="0.3">
      <c r="A17" t="s">
        <v>110</v>
      </c>
      <c r="B17">
        <f t="shared" si="0"/>
        <v>1</v>
      </c>
      <c r="U17" t="s">
        <v>112</v>
      </c>
      <c r="V17">
        <v>3</v>
      </c>
      <c r="W17">
        <v>0</v>
      </c>
      <c r="Y17">
        <f t="shared" si="1"/>
        <v>3</v>
      </c>
    </row>
    <row r="18" spans="1:25" x14ac:dyDescent="0.3">
      <c r="A18" t="s">
        <v>109</v>
      </c>
      <c r="B18">
        <f t="shared" si="0"/>
        <v>1</v>
      </c>
      <c r="U18" t="s">
        <v>113</v>
      </c>
      <c r="V18">
        <v>2</v>
      </c>
      <c r="W18">
        <v>0</v>
      </c>
      <c r="Y18">
        <f t="shared" si="1"/>
        <v>2</v>
      </c>
    </row>
    <row r="19" spans="1:25" x14ac:dyDescent="0.3">
      <c r="A19" t="s">
        <v>108</v>
      </c>
      <c r="B19">
        <f t="shared" si="0"/>
        <v>1</v>
      </c>
      <c r="U19" t="s">
        <v>114</v>
      </c>
      <c r="V19">
        <v>0</v>
      </c>
      <c r="W19">
        <v>0</v>
      </c>
      <c r="Y19">
        <f t="shared" si="1"/>
        <v>0</v>
      </c>
    </row>
    <row r="20" spans="1:25" x14ac:dyDescent="0.3">
      <c r="A20" t="s">
        <v>107</v>
      </c>
      <c r="B20">
        <f t="shared" si="0"/>
        <v>1</v>
      </c>
      <c r="U20" t="s">
        <v>115</v>
      </c>
      <c r="V20">
        <v>0</v>
      </c>
      <c r="W20">
        <v>0</v>
      </c>
      <c r="Y20">
        <f t="shared" si="1"/>
        <v>0</v>
      </c>
    </row>
    <row r="21" spans="1:25" x14ac:dyDescent="0.3">
      <c r="A21" t="s">
        <v>106</v>
      </c>
      <c r="B21">
        <f t="shared" si="0"/>
        <v>0</v>
      </c>
      <c r="U21" t="s">
        <v>116</v>
      </c>
      <c r="V21">
        <v>1</v>
      </c>
      <c r="W21">
        <v>1</v>
      </c>
      <c r="Y21">
        <f t="shared" si="1"/>
        <v>2</v>
      </c>
    </row>
    <row r="22" spans="1:25" x14ac:dyDescent="0.3">
      <c r="A22" t="s">
        <v>118</v>
      </c>
      <c r="B22">
        <f t="shared" si="0"/>
        <v>0</v>
      </c>
      <c r="U22" t="s">
        <v>117</v>
      </c>
      <c r="V22">
        <v>0</v>
      </c>
      <c r="W22">
        <v>0</v>
      </c>
      <c r="Y22">
        <f t="shared" si="1"/>
        <v>0</v>
      </c>
    </row>
    <row r="23" spans="1:25" x14ac:dyDescent="0.3">
      <c r="A23" t="s">
        <v>117</v>
      </c>
      <c r="B23">
        <f t="shared" si="0"/>
        <v>0</v>
      </c>
      <c r="U23" t="s">
        <v>118</v>
      </c>
      <c r="V23">
        <v>0</v>
      </c>
      <c r="W23">
        <v>0</v>
      </c>
      <c r="Y23">
        <f t="shared" si="1"/>
        <v>0</v>
      </c>
    </row>
    <row r="24" spans="1:25" x14ac:dyDescent="0.3">
      <c r="A24" t="s">
        <v>115</v>
      </c>
      <c r="B24">
        <f t="shared" si="0"/>
        <v>0</v>
      </c>
      <c r="U24" t="s">
        <v>119</v>
      </c>
      <c r="V24">
        <v>0</v>
      </c>
      <c r="W24">
        <v>0</v>
      </c>
      <c r="Y24">
        <f t="shared" si="1"/>
        <v>0</v>
      </c>
    </row>
    <row r="25" spans="1:25" x14ac:dyDescent="0.3">
      <c r="A25" t="s">
        <v>114</v>
      </c>
      <c r="B25">
        <f t="shared" si="0"/>
        <v>0</v>
      </c>
      <c r="U25" t="s">
        <v>122</v>
      </c>
      <c r="V25">
        <v>0</v>
      </c>
      <c r="W25">
        <v>0</v>
      </c>
      <c r="Y25">
        <f t="shared" si="1"/>
        <v>0</v>
      </c>
    </row>
    <row r="26" spans="1:25" x14ac:dyDescent="0.3">
      <c r="A26" t="s">
        <v>119</v>
      </c>
      <c r="B26">
        <f t="shared" si="0"/>
        <v>0</v>
      </c>
      <c r="U26" t="s">
        <v>123</v>
      </c>
      <c r="V26">
        <v>0</v>
      </c>
      <c r="W26">
        <v>2</v>
      </c>
      <c r="Y26">
        <f t="shared" si="1"/>
        <v>2</v>
      </c>
    </row>
    <row r="27" spans="1:25" x14ac:dyDescent="0.3">
      <c r="A27" t="s">
        <v>122</v>
      </c>
      <c r="B27">
        <f t="shared" si="0"/>
        <v>0</v>
      </c>
      <c r="U27" t="s">
        <v>125</v>
      </c>
      <c r="V27">
        <v>0</v>
      </c>
      <c r="W27">
        <v>0</v>
      </c>
      <c r="Y27">
        <f t="shared" si="1"/>
        <v>0</v>
      </c>
    </row>
    <row r="28" spans="1:25" x14ac:dyDescent="0.3">
      <c r="A28" t="s">
        <v>125</v>
      </c>
      <c r="B28">
        <f t="shared" si="0"/>
        <v>0</v>
      </c>
      <c r="U28" t="s">
        <v>96</v>
      </c>
      <c r="V28">
        <v>0</v>
      </c>
      <c r="W28">
        <v>0</v>
      </c>
      <c r="X28">
        <v>37</v>
      </c>
      <c r="Y28">
        <f t="shared" si="1"/>
        <v>37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87C0-8EDF-498C-AA3E-3C4C14EE533F}">
  <dimension ref="A1:U28"/>
  <sheetViews>
    <sheetView topLeftCell="A31" zoomScaleNormal="100" workbookViewId="0">
      <selection activeCell="O44" sqref="O44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50</v>
      </c>
      <c r="Q2" t="s">
        <v>97</v>
      </c>
      <c r="R2">
        <v>1</v>
      </c>
      <c r="S2">
        <v>1</v>
      </c>
      <c r="U2">
        <f>R2+S2+T2</f>
        <v>2</v>
      </c>
    </row>
    <row r="3" spans="1:21" x14ac:dyDescent="0.3">
      <c r="A3" t="s">
        <v>98</v>
      </c>
      <c r="B3">
        <f t="shared" si="0"/>
        <v>13</v>
      </c>
      <c r="Q3" t="s">
        <v>98</v>
      </c>
      <c r="R3">
        <v>13</v>
      </c>
      <c r="S3">
        <v>0</v>
      </c>
      <c r="U3">
        <f t="shared" ref="U3:U28" si="1">R3+S3+T3</f>
        <v>13</v>
      </c>
    </row>
    <row r="4" spans="1:21" x14ac:dyDescent="0.3">
      <c r="A4" t="s">
        <v>103</v>
      </c>
      <c r="B4">
        <f t="shared" si="0"/>
        <v>12</v>
      </c>
      <c r="Q4" t="s">
        <v>99</v>
      </c>
      <c r="R4">
        <v>9</v>
      </c>
      <c r="S4">
        <v>1</v>
      </c>
      <c r="U4">
        <f t="shared" si="1"/>
        <v>10</v>
      </c>
    </row>
    <row r="5" spans="1:21" x14ac:dyDescent="0.3">
      <c r="A5" t="s">
        <v>99</v>
      </c>
      <c r="B5">
        <f t="shared" si="0"/>
        <v>10</v>
      </c>
      <c r="Q5" t="s">
        <v>100</v>
      </c>
      <c r="R5">
        <v>2</v>
      </c>
      <c r="S5">
        <v>1</v>
      </c>
      <c r="U5">
        <f t="shared" si="1"/>
        <v>3</v>
      </c>
    </row>
    <row r="6" spans="1:21" x14ac:dyDescent="0.3">
      <c r="A6" t="s">
        <v>123</v>
      </c>
      <c r="B6">
        <f t="shared" si="0"/>
        <v>6</v>
      </c>
      <c r="Q6" t="s">
        <v>101</v>
      </c>
      <c r="R6">
        <v>1</v>
      </c>
      <c r="S6">
        <v>0</v>
      </c>
      <c r="U6">
        <f t="shared" si="1"/>
        <v>1</v>
      </c>
    </row>
    <row r="7" spans="1:21" x14ac:dyDescent="0.3">
      <c r="A7" t="s">
        <v>109</v>
      </c>
      <c r="B7">
        <f t="shared" si="0"/>
        <v>6</v>
      </c>
      <c r="Q7" t="s">
        <v>102</v>
      </c>
      <c r="R7">
        <v>0</v>
      </c>
      <c r="S7">
        <v>0</v>
      </c>
      <c r="U7">
        <f t="shared" si="1"/>
        <v>0</v>
      </c>
    </row>
    <row r="8" spans="1:21" x14ac:dyDescent="0.3">
      <c r="A8" t="s">
        <v>104</v>
      </c>
      <c r="B8">
        <f t="shared" si="0"/>
        <v>4</v>
      </c>
      <c r="Q8" t="s">
        <v>103</v>
      </c>
      <c r="R8">
        <v>12</v>
      </c>
      <c r="S8">
        <v>0</v>
      </c>
      <c r="U8">
        <f t="shared" si="1"/>
        <v>12</v>
      </c>
    </row>
    <row r="9" spans="1:21" x14ac:dyDescent="0.3">
      <c r="A9" t="s">
        <v>100</v>
      </c>
      <c r="B9">
        <f t="shared" si="0"/>
        <v>3</v>
      </c>
      <c r="Q9" t="s">
        <v>104</v>
      </c>
      <c r="R9">
        <v>4</v>
      </c>
      <c r="S9">
        <v>0</v>
      </c>
      <c r="U9">
        <f t="shared" si="1"/>
        <v>4</v>
      </c>
    </row>
    <row r="10" spans="1:21" x14ac:dyDescent="0.3">
      <c r="A10" t="s">
        <v>112</v>
      </c>
      <c r="B10">
        <f t="shared" si="0"/>
        <v>3</v>
      </c>
      <c r="Q10" t="s">
        <v>105</v>
      </c>
      <c r="R10">
        <v>1</v>
      </c>
      <c r="S10">
        <v>0</v>
      </c>
      <c r="U10">
        <f t="shared" si="1"/>
        <v>1</v>
      </c>
    </row>
    <row r="11" spans="1:21" x14ac:dyDescent="0.3">
      <c r="A11" t="s">
        <v>97</v>
      </c>
      <c r="B11">
        <f t="shared" si="0"/>
        <v>2</v>
      </c>
      <c r="Q11" t="s">
        <v>106</v>
      </c>
      <c r="R11">
        <v>0</v>
      </c>
      <c r="S11">
        <v>0</v>
      </c>
      <c r="U11">
        <f t="shared" si="1"/>
        <v>0</v>
      </c>
    </row>
    <row r="12" spans="1:21" x14ac:dyDescent="0.3">
      <c r="A12" t="s">
        <v>113</v>
      </c>
      <c r="B12">
        <f t="shared" si="0"/>
        <v>2</v>
      </c>
      <c r="Q12" t="s">
        <v>107</v>
      </c>
      <c r="R12">
        <v>2</v>
      </c>
      <c r="S12">
        <v>0</v>
      </c>
      <c r="U12">
        <f t="shared" si="1"/>
        <v>2</v>
      </c>
    </row>
    <row r="13" spans="1:21" x14ac:dyDescent="0.3">
      <c r="A13" t="s">
        <v>108</v>
      </c>
      <c r="B13">
        <f t="shared" si="0"/>
        <v>2</v>
      </c>
      <c r="Q13" t="s">
        <v>108</v>
      </c>
      <c r="R13">
        <v>2</v>
      </c>
      <c r="S13">
        <v>0</v>
      </c>
      <c r="U13">
        <f t="shared" si="1"/>
        <v>2</v>
      </c>
    </row>
    <row r="14" spans="1:21" x14ac:dyDescent="0.3">
      <c r="A14" t="s">
        <v>107</v>
      </c>
      <c r="B14">
        <f t="shared" si="0"/>
        <v>2</v>
      </c>
      <c r="Q14" t="s">
        <v>109</v>
      </c>
      <c r="R14">
        <v>4</v>
      </c>
      <c r="S14">
        <v>2</v>
      </c>
      <c r="U14">
        <f t="shared" si="1"/>
        <v>6</v>
      </c>
    </row>
    <row r="15" spans="1:21" x14ac:dyDescent="0.3">
      <c r="A15" t="s">
        <v>101</v>
      </c>
      <c r="B15">
        <f t="shared" si="0"/>
        <v>1</v>
      </c>
      <c r="Q15" t="s">
        <v>110</v>
      </c>
      <c r="R15">
        <v>0</v>
      </c>
      <c r="S15">
        <v>0</v>
      </c>
      <c r="U15">
        <f t="shared" si="1"/>
        <v>0</v>
      </c>
    </row>
    <row r="16" spans="1:21" x14ac:dyDescent="0.3">
      <c r="A16" t="s">
        <v>111</v>
      </c>
      <c r="B16">
        <f t="shared" si="0"/>
        <v>1</v>
      </c>
      <c r="Q16" t="s">
        <v>111</v>
      </c>
      <c r="R16">
        <v>1</v>
      </c>
      <c r="S16">
        <v>0</v>
      </c>
      <c r="U16">
        <f t="shared" si="1"/>
        <v>1</v>
      </c>
    </row>
    <row r="17" spans="1:21" x14ac:dyDescent="0.3">
      <c r="A17" t="s">
        <v>105</v>
      </c>
      <c r="B17">
        <f t="shared" si="0"/>
        <v>1</v>
      </c>
      <c r="Q17" t="s">
        <v>112</v>
      </c>
      <c r="R17">
        <v>2</v>
      </c>
      <c r="S17">
        <v>1</v>
      </c>
      <c r="U17">
        <f t="shared" si="1"/>
        <v>3</v>
      </c>
    </row>
    <row r="18" spans="1:21" x14ac:dyDescent="0.3">
      <c r="A18" t="s">
        <v>115</v>
      </c>
      <c r="B18">
        <f t="shared" si="0"/>
        <v>1</v>
      </c>
      <c r="Q18" t="s">
        <v>113</v>
      </c>
      <c r="R18">
        <v>2</v>
      </c>
      <c r="S18">
        <v>0</v>
      </c>
      <c r="U18">
        <f t="shared" si="1"/>
        <v>2</v>
      </c>
    </row>
    <row r="19" spans="1:21" x14ac:dyDescent="0.3">
      <c r="A19" t="s">
        <v>114</v>
      </c>
      <c r="B19">
        <f t="shared" si="0"/>
        <v>1</v>
      </c>
      <c r="Q19" t="s">
        <v>114</v>
      </c>
      <c r="R19">
        <v>0</v>
      </c>
      <c r="S19">
        <v>1</v>
      </c>
      <c r="U19">
        <f t="shared" si="1"/>
        <v>1</v>
      </c>
    </row>
    <row r="20" spans="1:21" x14ac:dyDescent="0.3">
      <c r="A20" t="s">
        <v>119</v>
      </c>
      <c r="B20">
        <f t="shared" si="0"/>
        <v>1</v>
      </c>
      <c r="Q20" t="s">
        <v>115</v>
      </c>
      <c r="R20">
        <v>1</v>
      </c>
      <c r="S20">
        <v>0</v>
      </c>
      <c r="U20">
        <f t="shared" si="1"/>
        <v>1</v>
      </c>
    </row>
    <row r="21" spans="1:21" x14ac:dyDescent="0.3">
      <c r="A21" t="s">
        <v>122</v>
      </c>
      <c r="B21">
        <f t="shared" si="0"/>
        <v>1</v>
      </c>
      <c r="Q21" t="s">
        <v>116</v>
      </c>
      <c r="R21">
        <v>0</v>
      </c>
      <c r="S21">
        <v>0</v>
      </c>
      <c r="U21">
        <f t="shared" si="1"/>
        <v>0</v>
      </c>
    </row>
    <row r="22" spans="1:21" x14ac:dyDescent="0.3">
      <c r="A22" t="s">
        <v>102</v>
      </c>
      <c r="B22">
        <f t="shared" si="0"/>
        <v>0</v>
      </c>
      <c r="Q22" t="s">
        <v>117</v>
      </c>
      <c r="R22">
        <v>0</v>
      </c>
      <c r="S22">
        <v>0</v>
      </c>
      <c r="U22">
        <f t="shared" si="1"/>
        <v>0</v>
      </c>
    </row>
    <row r="23" spans="1:21" x14ac:dyDescent="0.3">
      <c r="A23" t="s">
        <v>116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110</v>
      </c>
      <c r="B24">
        <f t="shared" si="0"/>
        <v>0</v>
      </c>
      <c r="Q24" t="s">
        <v>119</v>
      </c>
      <c r="R24">
        <v>1</v>
      </c>
      <c r="S24">
        <v>0</v>
      </c>
      <c r="U24">
        <f t="shared" si="1"/>
        <v>1</v>
      </c>
    </row>
    <row r="25" spans="1:21" x14ac:dyDescent="0.3">
      <c r="A25" t="s">
        <v>106</v>
      </c>
      <c r="B25">
        <f t="shared" si="0"/>
        <v>0</v>
      </c>
      <c r="Q25" t="s">
        <v>122</v>
      </c>
      <c r="R25">
        <v>1</v>
      </c>
      <c r="S25">
        <v>0</v>
      </c>
      <c r="U25">
        <f t="shared" si="1"/>
        <v>1</v>
      </c>
    </row>
    <row r="26" spans="1:21" x14ac:dyDescent="0.3">
      <c r="A26" t="s">
        <v>118</v>
      </c>
      <c r="B26">
        <f t="shared" si="0"/>
        <v>0</v>
      </c>
      <c r="Q26" t="s">
        <v>123</v>
      </c>
      <c r="R26">
        <v>0</v>
      </c>
      <c r="S26">
        <v>6</v>
      </c>
      <c r="U26">
        <f t="shared" si="1"/>
        <v>6</v>
      </c>
    </row>
    <row r="27" spans="1:21" x14ac:dyDescent="0.3">
      <c r="A27" t="s">
        <v>117</v>
      </c>
      <c r="B27">
        <f t="shared" si="0"/>
        <v>0</v>
      </c>
      <c r="Q27" t="s">
        <v>125</v>
      </c>
      <c r="R27">
        <v>0</v>
      </c>
      <c r="S27">
        <v>0</v>
      </c>
      <c r="U27">
        <f t="shared" si="1"/>
        <v>0</v>
      </c>
    </row>
    <row r="28" spans="1:21" x14ac:dyDescent="0.3">
      <c r="A28" t="s">
        <v>125</v>
      </c>
      <c r="B28">
        <f t="shared" si="0"/>
        <v>0</v>
      </c>
      <c r="Q28" t="s">
        <v>96</v>
      </c>
      <c r="R28">
        <v>0</v>
      </c>
      <c r="S28">
        <v>0</v>
      </c>
      <c r="T28">
        <v>50</v>
      </c>
      <c r="U28">
        <f t="shared" si="1"/>
        <v>50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873F-218B-42A0-8AAE-3DB6694F74F8}">
  <dimension ref="A1:U28"/>
  <sheetViews>
    <sheetView zoomScaleNormal="100" workbookViewId="0">
      <selection activeCell="U7" sqref="U7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52</v>
      </c>
      <c r="Q2" t="s">
        <v>97</v>
      </c>
      <c r="R2">
        <v>12</v>
      </c>
      <c r="S2">
        <v>1</v>
      </c>
      <c r="U2">
        <f>R2+S2+T2</f>
        <v>13</v>
      </c>
    </row>
    <row r="3" spans="1:21" x14ac:dyDescent="0.3">
      <c r="A3" t="s">
        <v>98</v>
      </c>
      <c r="B3">
        <f t="shared" si="0"/>
        <v>15</v>
      </c>
      <c r="Q3" t="s">
        <v>98</v>
      </c>
      <c r="R3">
        <v>15</v>
      </c>
      <c r="S3">
        <v>0</v>
      </c>
      <c r="U3">
        <f t="shared" ref="U3:U28" si="1">R3+S3+T3</f>
        <v>15</v>
      </c>
    </row>
    <row r="4" spans="1:21" x14ac:dyDescent="0.3">
      <c r="A4" t="s">
        <v>97</v>
      </c>
      <c r="B4">
        <f t="shared" si="0"/>
        <v>13</v>
      </c>
      <c r="Q4" t="s">
        <v>99</v>
      </c>
      <c r="R4">
        <v>10</v>
      </c>
      <c r="S4">
        <v>2</v>
      </c>
      <c r="U4">
        <f t="shared" si="1"/>
        <v>12</v>
      </c>
    </row>
    <row r="5" spans="1:21" x14ac:dyDescent="0.3">
      <c r="A5" t="s">
        <v>99</v>
      </c>
      <c r="B5">
        <f t="shared" si="0"/>
        <v>12</v>
      </c>
      <c r="Q5" t="s">
        <v>100</v>
      </c>
      <c r="R5">
        <v>4</v>
      </c>
      <c r="S5">
        <v>0</v>
      </c>
      <c r="U5">
        <f t="shared" si="1"/>
        <v>4</v>
      </c>
    </row>
    <row r="6" spans="1:21" x14ac:dyDescent="0.3">
      <c r="A6" t="s">
        <v>104</v>
      </c>
      <c r="B6">
        <f t="shared" si="0"/>
        <v>11</v>
      </c>
      <c r="Q6" t="s">
        <v>101</v>
      </c>
      <c r="R6">
        <v>0</v>
      </c>
      <c r="S6">
        <v>0</v>
      </c>
      <c r="U6">
        <f t="shared" si="1"/>
        <v>0</v>
      </c>
    </row>
    <row r="7" spans="1:21" x14ac:dyDescent="0.3">
      <c r="A7" t="s">
        <v>103</v>
      </c>
      <c r="B7">
        <f t="shared" si="0"/>
        <v>9</v>
      </c>
      <c r="Q7" t="s">
        <v>102</v>
      </c>
      <c r="R7">
        <v>3</v>
      </c>
      <c r="S7">
        <v>0</v>
      </c>
      <c r="U7">
        <f t="shared" si="1"/>
        <v>3</v>
      </c>
    </row>
    <row r="8" spans="1:21" x14ac:dyDescent="0.3">
      <c r="A8" t="s">
        <v>111</v>
      </c>
      <c r="B8">
        <f t="shared" si="0"/>
        <v>5</v>
      </c>
      <c r="Q8" t="s">
        <v>103</v>
      </c>
      <c r="R8">
        <v>9</v>
      </c>
      <c r="S8">
        <v>0</v>
      </c>
      <c r="U8">
        <f t="shared" si="1"/>
        <v>9</v>
      </c>
    </row>
    <row r="9" spans="1:21" x14ac:dyDescent="0.3">
      <c r="A9" t="s">
        <v>100</v>
      </c>
      <c r="B9">
        <f t="shared" si="0"/>
        <v>4</v>
      </c>
      <c r="Q9" t="s">
        <v>104</v>
      </c>
      <c r="R9">
        <v>10</v>
      </c>
      <c r="S9">
        <v>1</v>
      </c>
      <c r="U9">
        <f t="shared" si="1"/>
        <v>11</v>
      </c>
    </row>
    <row r="10" spans="1:21" x14ac:dyDescent="0.3">
      <c r="A10" t="s">
        <v>108</v>
      </c>
      <c r="B10">
        <f t="shared" si="0"/>
        <v>3</v>
      </c>
      <c r="Q10" t="s">
        <v>105</v>
      </c>
      <c r="R10">
        <v>1</v>
      </c>
      <c r="S10">
        <v>0</v>
      </c>
      <c r="U10">
        <f t="shared" si="1"/>
        <v>1</v>
      </c>
    </row>
    <row r="11" spans="1:21" x14ac:dyDescent="0.3">
      <c r="A11" t="s">
        <v>102</v>
      </c>
      <c r="B11">
        <f t="shared" si="0"/>
        <v>3</v>
      </c>
      <c r="Q11" t="s">
        <v>106</v>
      </c>
      <c r="R11">
        <v>0</v>
      </c>
      <c r="S11">
        <v>0</v>
      </c>
      <c r="U11">
        <f t="shared" si="1"/>
        <v>0</v>
      </c>
    </row>
    <row r="12" spans="1:21" x14ac:dyDescent="0.3">
      <c r="A12" t="s">
        <v>123</v>
      </c>
      <c r="B12">
        <f t="shared" si="0"/>
        <v>2</v>
      </c>
      <c r="Q12" t="s">
        <v>107</v>
      </c>
      <c r="R12">
        <v>2</v>
      </c>
      <c r="S12">
        <v>0</v>
      </c>
      <c r="U12">
        <f t="shared" si="1"/>
        <v>2</v>
      </c>
    </row>
    <row r="13" spans="1:21" x14ac:dyDescent="0.3">
      <c r="A13" t="s">
        <v>109</v>
      </c>
      <c r="B13">
        <f t="shared" si="0"/>
        <v>2</v>
      </c>
      <c r="Q13" t="s">
        <v>108</v>
      </c>
      <c r="R13">
        <v>3</v>
      </c>
      <c r="S13">
        <v>0</v>
      </c>
      <c r="U13">
        <f t="shared" si="1"/>
        <v>3</v>
      </c>
    </row>
    <row r="14" spans="1:21" x14ac:dyDescent="0.3">
      <c r="A14" t="s">
        <v>107</v>
      </c>
      <c r="B14">
        <f t="shared" si="0"/>
        <v>2</v>
      </c>
      <c r="Q14" t="s">
        <v>109</v>
      </c>
      <c r="R14">
        <v>0</v>
      </c>
      <c r="S14">
        <v>2</v>
      </c>
      <c r="U14">
        <f t="shared" si="1"/>
        <v>2</v>
      </c>
    </row>
    <row r="15" spans="1:21" x14ac:dyDescent="0.3">
      <c r="A15" t="s">
        <v>105</v>
      </c>
      <c r="B15">
        <f t="shared" si="0"/>
        <v>1</v>
      </c>
      <c r="Q15" t="s">
        <v>110</v>
      </c>
      <c r="R15">
        <v>0</v>
      </c>
      <c r="S15">
        <v>0</v>
      </c>
      <c r="U15">
        <f t="shared" si="1"/>
        <v>0</v>
      </c>
    </row>
    <row r="16" spans="1:21" x14ac:dyDescent="0.3">
      <c r="A16" t="s">
        <v>115</v>
      </c>
      <c r="B16">
        <f t="shared" si="0"/>
        <v>1</v>
      </c>
      <c r="Q16" t="s">
        <v>111</v>
      </c>
      <c r="R16">
        <v>5</v>
      </c>
      <c r="S16">
        <v>0</v>
      </c>
      <c r="U16">
        <f t="shared" si="1"/>
        <v>5</v>
      </c>
    </row>
    <row r="17" spans="1:21" x14ac:dyDescent="0.3">
      <c r="A17" t="s">
        <v>122</v>
      </c>
      <c r="B17">
        <f t="shared" si="0"/>
        <v>1</v>
      </c>
      <c r="Q17" t="s">
        <v>112</v>
      </c>
      <c r="R17">
        <v>0</v>
      </c>
      <c r="S17">
        <v>0</v>
      </c>
      <c r="U17">
        <f t="shared" si="1"/>
        <v>0</v>
      </c>
    </row>
    <row r="18" spans="1:21" x14ac:dyDescent="0.3">
      <c r="A18" t="s">
        <v>116</v>
      </c>
      <c r="B18">
        <f t="shared" si="0"/>
        <v>1</v>
      </c>
      <c r="Q18" t="s">
        <v>113</v>
      </c>
      <c r="R18">
        <v>0</v>
      </c>
      <c r="S18">
        <v>0</v>
      </c>
      <c r="U18">
        <f t="shared" si="1"/>
        <v>0</v>
      </c>
    </row>
    <row r="19" spans="1:21" x14ac:dyDescent="0.3">
      <c r="A19" t="s">
        <v>125</v>
      </c>
      <c r="B19">
        <f t="shared" si="0"/>
        <v>1</v>
      </c>
      <c r="Q19" t="s">
        <v>114</v>
      </c>
      <c r="R19">
        <v>0</v>
      </c>
      <c r="S19">
        <v>0</v>
      </c>
      <c r="U19">
        <f t="shared" si="1"/>
        <v>0</v>
      </c>
    </row>
    <row r="20" spans="1:21" x14ac:dyDescent="0.3">
      <c r="A20" t="s">
        <v>112</v>
      </c>
      <c r="B20">
        <f t="shared" si="0"/>
        <v>0</v>
      </c>
      <c r="Q20" t="s">
        <v>115</v>
      </c>
      <c r="R20">
        <v>1</v>
      </c>
      <c r="S20">
        <v>0</v>
      </c>
      <c r="U20">
        <f t="shared" si="1"/>
        <v>1</v>
      </c>
    </row>
    <row r="21" spans="1:21" x14ac:dyDescent="0.3">
      <c r="A21" t="s">
        <v>113</v>
      </c>
      <c r="B21">
        <f t="shared" si="0"/>
        <v>0</v>
      </c>
      <c r="Q21" t="s">
        <v>116</v>
      </c>
      <c r="R21">
        <v>1</v>
      </c>
      <c r="S21">
        <v>0</v>
      </c>
      <c r="U21">
        <f t="shared" si="1"/>
        <v>1</v>
      </c>
    </row>
    <row r="22" spans="1:21" x14ac:dyDescent="0.3">
      <c r="A22" t="s">
        <v>101</v>
      </c>
      <c r="B22">
        <f t="shared" si="0"/>
        <v>0</v>
      </c>
      <c r="Q22" t="s">
        <v>117</v>
      </c>
      <c r="R22">
        <v>0</v>
      </c>
      <c r="S22">
        <v>0</v>
      </c>
      <c r="U22">
        <f t="shared" si="1"/>
        <v>0</v>
      </c>
    </row>
    <row r="23" spans="1:21" x14ac:dyDescent="0.3">
      <c r="A23" t="s">
        <v>114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119</v>
      </c>
      <c r="B24">
        <f t="shared" si="0"/>
        <v>0</v>
      </c>
      <c r="Q24" t="s">
        <v>119</v>
      </c>
      <c r="R24">
        <v>0</v>
      </c>
      <c r="S24">
        <v>0</v>
      </c>
      <c r="U24">
        <f t="shared" si="1"/>
        <v>0</v>
      </c>
    </row>
    <row r="25" spans="1:21" x14ac:dyDescent="0.3">
      <c r="A25" t="s">
        <v>110</v>
      </c>
      <c r="B25">
        <f t="shared" si="0"/>
        <v>0</v>
      </c>
      <c r="Q25" t="s">
        <v>122</v>
      </c>
      <c r="R25">
        <v>1</v>
      </c>
      <c r="S25">
        <v>0</v>
      </c>
      <c r="U25">
        <f t="shared" si="1"/>
        <v>1</v>
      </c>
    </row>
    <row r="26" spans="1:21" x14ac:dyDescent="0.3">
      <c r="A26" t="s">
        <v>106</v>
      </c>
      <c r="B26">
        <f t="shared" si="0"/>
        <v>0</v>
      </c>
      <c r="Q26" t="s">
        <v>123</v>
      </c>
      <c r="R26">
        <v>0</v>
      </c>
      <c r="S26">
        <v>2</v>
      </c>
      <c r="U26">
        <f t="shared" si="1"/>
        <v>2</v>
      </c>
    </row>
    <row r="27" spans="1:21" x14ac:dyDescent="0.3">
      <c r="A27" t="s">
        <v>118</v>
      </c>
      <c r="B27">
        <f t="shared" si="0"/>
        <v>0</v>
      </c>
      <c r="Q27" t="s">
        <v>125</v>
      </c>
      <c r="R27">
        <v>1</v>
      </c>
      <c r="S27">
        <v>0</v>
      </c>
      <c r="U27">
        <f t="shared" si="1"/>
        <v>1</v>
      </c>
    </row>
    <row r="28" spans="1:21" x14ac:dyDescent="0.3">
      <c r="A28" t="s">
        <v>117</v>
      </c>
      <c r="B28">
        <f t="shared" si="0"/>
        <v>0</v>
      </c>
      <c r="Q28" t="s">
        <v>96</v>
      </c>
      <c r="T28">
        <v>52</v>
      </c>
      <c r="U28">
        <f t="shared" si="1"/>
        <v>52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3B8B-5F70-4C37-A1F5-7A0432D1B0B6}">
  <dimension ref="A1:U28"/>
  <sheetViews>
    <sheetView zoomScaleNormal="100" workbookViewId="0">
      <selection activeCell="S16" sqref="S16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61</v>
      </c>
      <c r="Q2" t="s">
        <v>97</v>
      </c>
      <c r="R2">
        <v>5</v>
      </c>
      <c r="S2">
        <v>2</v>
      </c>
      <c r="U2">
        <f>R2+S2+T2</f>
        <v>7</v>
      </c>
    </row>
    <row r="3" spans="1:21" x14ac:dyDescent="0.3">
      <c r="A3" t="s">
        <v>98</v>
      </c>
      <c r="B3">
        <f t="shared" si="0"/>
        <v>20</v>
      </c>
      <c r="Q3" t="s">
        <v>98</v>
      </c>
      <c r="R3">
        <v>20</v>
      </c>
      <c r="S3">
        <v>0</v>
      </c>
      <c r="U3">
        <f t="shared" ref="U3:U28" si="1">R3+S3+T3</f>
        <v>20</v>
      </c>
    </row>
    <row r="4" spans="1:21" x14ac:dyDescent="0.3">
      <c r="A4" t="s">
        <v>99</v>
      </c>
      <c r="B4">
        <f t="shared" si="0"/>
        <v>19</v>
      </c>
      <c r="Q4" t="s">
        <v>99</v>
      </c>
      <c r="R4">
        <v>13</v>
      </c>
      <c r="S4">
        <v>6</v>
      </c>
      <c r="U4">
        <f t="shared" si="1"/>
        <v>19</v>
      </c>
    </row>
    <row r="5" spans="1:21" x14ac:dyDescent="0.3">
      <c r="A5" t="s">
        <v>103</v>
      </c>
      <c r="B5">
        <f t="shared" si="0"/>
        <v>11</v>
      </c>
      <c r="Q5" t="s">
        <v>100</v>
      </c>
      <c r="R5">
        <v>6</v>
      </c>
      <c r="S5">
        <v>2</v>
      </c>
      <c r="U5">
        <f t="shared" si="1"/>
        <v>8</v>
      </c>
    </row>
    <row r="6" spans="1:21" x14ac:dyDescent="0.3">
      <c r="A6" t="s">
        <v>100</v>
      </c>
      <c r="B6">
        <f t="shared" si="0"/>
        <v>8</v>
      </c>
      <c r="Q6" t="s">
        <v>101</v>
      </c>
      <c r="R6">
        <v>1</v>
      </c>
      <c r="S6">
        <v>1</v>
      </c>
      <c r="U6">
        <f t="shared" si="1"/>
        <v>2</v>
      </c>
    </row>
    <row r="7" spans="1:21" x14ac:dyDescent="0.3">
      <c r="A7" t="s">
        <v>97</v>
      </c>
      <c r="B7">
        <f t="shared" si="0"/>
        <v>7</v>
      </c>
      <c r="Q7" t="s">
        <v>102</v>
      </c>
      <c r="R7">
        <v>2</v>
      </c>
      <c r="S7">
        <v>0</v>
      </c>
      <c r="U7">
        <f t="shared" si="1"/>
        <v>2</v>
      </c>
    </row>
    <row r="8" spans="1:21" x14ac:dyDescent="0.3">
      <c r="A8" t="s">
        <v>104</v>
      </c>
      <c r="B8">
        <f t="shared" si="0"/>
        <v>7</v>
      </c>
      <c r="Q8" t="s">
        <v>103</v>
      </c>
      <c r="R8">
        <v>11</v>
      </c>
      <c r="S8">
        <v>0</v>
      </c>
      <c r="U8">
        <f t="shared" si="1"/>
        <v>11</v>
      </c>
    </row>
    <row r="9" spans="1:21" x14ac:dyDescent="0.3">
      <c r="A9" t="s">
        <v>111</v>
      </c>
      <c r="B9">
        <f t="shared" si="0"/>
        <v>4</v>
      </c>
      <c r="Q9" t="s">
        <v>104</v>
      </c>
      <c r="R9">
        <v>7</v>
      </c>
      <c r="S9">
        <v>0</v>
      </c>
      <c r="U9">
        <f t="shared" si="1"/>
        <v>7</v>
      </c>
    </row>
    <row r="10" spans="1:21" x14ac:dyDescent="0.3">
      <c r="A10" t="s">
        <v>123</v>
      </c>
      <c r="B10">
        <f t="shared" si="0"/>
        <v>4</v>
      </c>
      <c r="Q10" t="s">
        <v>105</v>
      </c>
      <c r="R10">
        <v>1</v>
      </c>
      <c r="S10">
        <v>0</v>
      </c>
      <c r="U10">
        <f t="shared" si="1"/>
        <v>1</v>
      </c>
    </row>
    <row r="11" spans="1:21" x14ac:dyDescent="0.3">
      <c r="A11" t="s">
        <v>107</v>
      </c>
      <c r="B11">
        <f t="shared" si="0"/>
        <v>3</v>
      </c>
      <c r="Q11" t="s">
        <v>106</v>
      </c>
      <c r="R11">
        <v>0</v>
      </c>
      <c r="S11">
        <v>0</v>
      </c>
      <c r="U11">
        <f t="shared" si="1"/>
        <v>0</v>
      </c>
    </row>
    <row r="12" spans="1:21" x14ac:dyDescent="0.3">
      <c r="A12" t="s">
        <v>112</v>
      </c>
      <c r="B12">
        <f t="shared" si="0"/>
        <v>3</v>
      </c>
      <c r="Q12" t="s">
        <v>107</v>
      </c>
      <c r="R12">
        <v>3</v>
      </c>
      <c r="S12">
        <v>0</v>
      </c>
      <c r="U12">
        <f t="shared" si="1"/>
        <v>3</v>
      </c>
    </row>
    <row r="13" spans="1:21" x14ac:dyDescent="0.3">
      <c r="A13" t="s">
        <v>108</v>
      </c>
      <c r="B13">
        <f t="shared" si="0"/>
        <v>2</v>
      </c>
      <c r="Q13" t="s">
        <v>108</v>
      </c>
      <c r="R13">
        <v>2</v>
      </c>
      <c r="S13">
        <v>0</v>
      </c>
      <c r="U13">
        <f t="shared" si="1"/>
        <v>2</v>
      </c>
    </row>
    <row r="14" spans="1:21" x14ac:dyDescent="0.3">
      <c r="A14" t="s">
        <v>102</v>
      </c>
      <c r="B14">
        <f t="shared" si="0"/>
        <v>2</v>
      </c>
      <c r="Q14" t="s">
        <v>109</v>
      </c>
      <c r="R14">
        <v>0</v>
      </c>
      <c r="S14">
        <v>1</v>
      </c>
      <c r="U14">
        <f t="shared" si="1"/>
        <v>1</v>
      </c>
    </row>
    <row r="15" spans="1:21" x14ac:dyDescent="0.3">
      <c r="A15" t="s">
        <v>101</v>
      </c>
      <c r="B15">
        <f t="shared" si="0"/>
        <v>2</v>
      </c>
      <c r="Q15" t="s">
        <v>110</v>
      </c>
      <c r="R15">
        <v>2</v>
      </c>
      <c r="S15">
        <v>0</v>
      </c>
      <c r="U15">
        <f t="shared" si="1"/>
        <v>2</v>
      </c>
    </row>
    <row r="16" spans="1:21" x14ac:dyDescent="0.3">
      <c r="A16" t="s">
        <v>110</v>
      </c>
      <c r="B16">
        <f t="shared" si="0"/>
        <v>2</v>
      </c>
      <c r="Q16" t="s">
        <v>111</v>
      </c>
      <c r="R16">
        <v>4</v>
      </c>
      <c r="S16">
        <v>0</v>
      </c>
      <c r="U16">
        <f t="shared" si="1"/>
        <v>4</v>
      </c>
    </row>
    <row r="17" spans="1:21" x14ac:dyDescent="0.3">
      <c r="A17" t="s">
        <v>105</v>
      </c>
      <c r="B17">
        <f t="shared" si="0"/>
        <v>1</v>
      </c>
      <c r="Q17" t="s">
        <v>112</v>
      </c>
      <c r="R17">
        <v>3</v>
      </c>
      <c r="S17">
        <v>0</v>
      </c>
      <c r="U17">
        <f t="shared" si="1"/>
        <v>3</v>
      </c>
    </row>
    <row r="18" spans="1:21" x14ac:dyDescent="0.3">
      <c r="A18" t="s">
        <v>113</v>
      </c>
      <c r="B18">
        <f t="shared" si="0"/>
        <v>1</v>
      </c>
      <c r="Q18" t="s">
        <v>113</v>
      </c>
      <c r="R18">
        <v>1</v>
      </c>
      <c r="S18">
        <v>0</v>
      </c>
      <c r="U18">
        <f t="shared" si="1"/>
        <v>1</v>
      </c>
    </row>
    <row r="19" spans="1:21" x14ac:dyDescent="0.3">
      <c r="A19" t="s">
        <v>109</v>
      </c>
      <c r="B19">
        <f t="shared" si="0"/>
        <v>1</v>
      </c>
      <c r="Q19" t="s">
        <v>114</v>
      </c>
      <c r="R19">
        <v>0</v>
      </c>
      <c r="S19">
        <v>0</v>
      </c>
      <c r="U19">
        <f t="shared" si="1"/>
        <v>0</v>
      </c>
    </row>
    <row r="20" spans="1:21" x14ac:dyDescent="0.3">
      <c r="A20" t="s">
        <v>115</v>
      </c>
      <c r="B20">
        <f t="shared" si="0"/>
        <v>0</v>
      </c>
      <c r="Q20" t="s">
        <v>115</v>
      </c>
      <c r="R20">
        <v>0</v>
      </c>
      <c r="S20">
        <v>0</v>
      </c>
      <c r="U20">
        <f t="shared" si="1"/>
        <v>0</v>
      </c>
    </row>
    <row r="21" spans="1:21" x14ac:dyDescent="0.3">
      <c r="A21" t="s">
        <v>122</v>
      </c>
      <c r="B21">
        <f t="shared" si="0"/>
        <v>0</v>
      </c>
      <c r="Q21" t="s">
        <v>116</v>
      </c>
      <c r="R21">
        <v>0</v>
      </c>
      <c r="S21">
        <v>0</v>
      </c>
      <c r="U21">
        <f t="shared" si="1"/>
        <v>0</v>
      </c>
    </row>
    <row r="22" spans="1:21" x14ac:dyDescent="0.3">
      <c r="A22" t="s">
        <v>116</v>
      </c>
      <c r="B22">
        <f t="shared" si="0"/>
        <v>0</v>
      </c>
      <c r="Q22" t="s">
        <v>117</v>
      </c>
      <c r="R22">
        <v>0</v>
      </c>
      <c r="S22">
        <v>0</v>
      </c>
      <c r="U22">
        <f t="shared" si="1"/>
        <v>0</v>
      </c>
    </row>
    <row r="23" spans="1:21" x14ac:dyDescent="0.3">
      <c r="A23" t="s">
        <v>125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114</v>
      </c>
      <c r="B24">
        <f t="shared" si="0"/>
        <v>0</v>
      </c>
      <c r="Q24" t="s">
        <v>119</v>
      </c>
      <c r="R24">
        <v>0</v>
      </c>
      <c r="S24">
        <v>0</v>
      </c>
      <c r="U24">
        <f t="shared" si="1"/>
        <v>0</v>
      </c>
    </row>
    <row r="25" spans="1:21" x14ac:dyDescent="0.3">
      <c r="A25" t="s">
        <v>119</v>
      </c>
      <c r="B25">
        <f t="shared" si="0"/>
        <v>0</v>
      </c>
      <c r="Q25" t="s">
        <v>122</v>
      </c>
      <c r="R25">
        <v>0</v>
      </c>
      <c r="S25">
        <v>0</v>
      </c>
      <c r="U25">
        <f t="shared" si="1"/>
        <v>0</v>
      </c>
    </row>
    <row r="26" spans="1:21" x14ac:dyDescent="0.3">
      <c r="A26" t="s">
        <v>106</v>
      </c>
      <c r="B26">
        <f t="shared" si="0"/>
        <v>0</v>
      </c>
      <c r="Q26" t="s">
        <v>123</v>
      </c>
      <c r="R26">
        <v>0</v>
      </c>
      <c r="S26">
        <v>4</v>
      </c>
      <c r="U26">
        <f t="shared" si="1"/>
        <v>4</v>
      </c>
    </row>
    <row r="27" spans="1:21" x14ac:dyDescent="0.3">
      <c r="A27" t="s">
        <v>118</v>
      </c>
      <c r="B27">
        <f t="shared" si="0"/>
        <v>0</v>
      </c>
      <c r="Q27" t="s">
        <v>125</v>
      </c>
      <c r="R27">
        <v>0</v>
      </c>
      <c r="S27">
        <v>0</v>
      </c>
      <c r="U27">
        <f t="shared" si="1"/>
        <v>0</v>
      </c>
    </row>
    <row r="28" spans="1:21" x14ac:dyDescent="0.3">
      <c r="A28" t="s">
        <v>117</v>
      </c>
      <c r="B28">
        <f t="shared" si="0"/>
        <v>0</v>
      </c>
      <c r="Q28" t="s">
        <v>96</v>
      </c>
      <c r="T28">
        <v>61</v>
      </c>
      <c r="U28">
        <f t="shared" si="1"/>
        <v>61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3A730-F68C-42D6-B8E6-61CE22F361FD}">
  <dimension ref="A1:U28"/>
  <sheetViews>
    <sheetView topLeftCell="A40" zoomScaleNormal="100" workbookViewId="0">
      <selection activeCell="I43" sqref="I43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44</v>
      </c>
      <c r="Q2" t="s">
        <v>97</v>
      </c>
      <c r="R2">
        <v>1</v>
      </c>
      <c r="S2">
        <v>1</v>
      </c>
      <c r="U2">
        <f>R2+S2+T2</f>
        <v>2</v>
      </c>
    </row>
    <row r="3" spans="1:21" x14ac:dyDescent="0.3">
      <c r="A3" t="s">
        <v>99</v>
      </c>
      <c r="B3">
        <f t="shared" si="0"/>
        <v>12</v>
      </c>
      <c r="Q3" t="s">
        <v>98</v>
      </c>
      <c r="R3">
        <v>8</v>
      </c>
      <c r="S3">
        <v>0</v>
      </c>
      <c r="U3">
        <f t="shared" ref="U3:U28" si="1">R3+S3+T3</f>
        <v>8</v>
      </c>
    </row>
    <row r="4" spans="1:21" x14ac:dyDescent="0.3">
      <c r="A4" t="s">
        <v>98</v>
      </c>
      <c r="B4">
        <f t="shared" si="0"/>
        <v>8</v>
      </c>
      <c r="Q4" t="s">
        <v>99</v>
      </c>
      <c r="R4">
        <v>9</v>
      </c>
      <c r="S4">
        <v>3</v>
      </c>
      <c r="U4">
        <f t="shared" si="1"/>
        <v>12</v>
      </c>
    </row>
    <row r="5" spans="1:21" x14ac:dyDescent="0.3">
      <c r="A5" t="s">
        <v>103</v>
      </c>
      <c r="B5">
        <f t="shared" si="0"/>
        <v>8</v>
      </c>
      <c r="Q5" t="s">
        <v>100</v>
      </c>
      <c r="R5">
        <v>4</v>
      </c>
      <c r="S5">
        <v>2</v>
      </c>
      <c r="U5">
        <f t="shared" si="1"/>
        <v>6</v>
      </c>
    </row>
    <row r="6" spans="1:21" x14ac:dyDescent="0.3">
      <c r="A6" t="s">
        <v>100</v>
      </c>
      <c r="B6">
        <f t="shared" si="0"/>
        <v>6</v>
      </c>
      <c r="Q6" t="s">
        <v>101</v>
      </c>
      <c r="R6">
        <v>0</v>
      </c>
      <c r="S6">
        <v>0</v>
      </c>
      <c r="U6">
        <f t="shared" si="1"/>
        <v>0</v>
      </c>
    </row>
    <row r="7" spans="1:21" x14ac:dyDescent="0.3">
      <c r="A7" t="s">
        <v>111</v>
      </c>
      <c r="B7">
        <f t="shared" si="0"/>
        <v>6</v>
      </c>
      <c r="Q7" t="s">
        <v>102</v>
      </c>
      <c r="R7">
        <v>2</v>
      </c>
      <c r="S7">
        <v>0</v>
      </c>
      <c r="U7">
        <f t="shared" si="1"/>
        <v>2</v>
      </c>
    </row>
    <row r="8" spans="1:21" x14ac:dyDescent="0.3">
      <c r="A8" t="s">
        <v>123</v>
      </c>
      <c r="B8">
        <f t="shared" si="0"/>
        <v>6</v>
      </c>
      <c r="Q8" t="s">
        <v>103</v>
      </c>
      <c r="R8">
        <v>7</v>
      </c>
      <c r="S8">
        <v>1</v>
      </c>
      <c r="U8">
        <f t="shared" si="1"/>
        <v>8</v>
      </c>
    </row>
    <row r="9" spans="1:21" x14ac:dyDescent="0.3">
      <c r="A9" t="s">
        <v>104</v>
      </c>
      <c r="B9">
        <f t="shared" si="0"/>
        <v>3</v>
      </c>
      <c r="Q9" t="s">
        <v>104</v>
      </c>
      <c r="R9">
        <v>2</v>
      </c>
      <c r="S9">
        <v>1</v>
      </c>
      <c r="U9">
        <f t="shared" si="1"/>
        <v>3</v>
      </c>
    </row>
    <row r="10" spans="1:21" x14ac:dyDescent="0.3">
      <c r="A10" t="s">
        <v>107</v>
      </c>
      <c r="B10">
        <f t="shared" si="0"/>
        <v>3</v>
      </c>
      <c r="Q10" t="s">
        <v>105</v>
      </c>
      <c r="R10">
        <v>2</v>
      </c>
      <c r="S10">
        <v>0</v>
      </c>
      <c r="U10">
        <f t="shared" si="1"/>
        <v>2</v>
      </c>
    </row>
    <row r="11" spans="1:21" x14ac:dyDescent="0.3">
      <c r="A11" t="s">
        <v>97</v>
      </c>
      <c r="B11">
        <f t="shared" si="0"/>
        <v>2</v>
      </c>
      <c r="Q11" t="s">
        <v>106</v>
      </c>
      <c r="R11">
        <v>1</v>
      </c>
      <c r="S11">
        <v>0</v>
      </c>
      <c r="U11">
        <f t="shared" si="1"/>
        <v>1</v>
      </c>
    </row>
    <row r="12" spans="1:21" x14ac:dyDescent="0.3">
      <c r="A12" t="s">
        <v>102</v>
      </c>
      <c r="B12">
        <f t="shared" si="0"/>
        <v>2</v>
      </c>
      <c r="Q12" t="s">
        <v>107</v>
      </c>
      <c r="R12">
        <v>3</v>
      </c>
      <c r="S12">
        <v>0</v>
      </c>
      <c r="U12">
        <f t="shared" si="1"/>
        <v>3</v>
      </c>
    </row>
    <row r="13" spans="1:21" x14ac:dyDescent="0.3">
      <c r="A13" t="s">
        <v>105</v>
      </c>
      <c r="B13">
        <f t="shared" si="0"/>
        <v>2</v>
      </c>
      <c r="Q13" t="s">
        <v>108</v>
      </c>
      <c r="R13">
        <v>1</v>
      </c>
      <c r="S13">
        <v>0</v>
      </c>
      <c r="U13">
        <f t="shared" si="1"/>
        <v>1</v>
      </c>
    </row>
    <row r="14" spans="1:21" x14ac:dyDescent="0.3">
      <c r="A14" t="s">
        <v>115</v>
      </c>
      <c r="B14">
        <f t="shared" si="0"/>
        <v>2</v>
      </c>
      <c r="Q14" t="s">
        <v>109</v>
      </c>
      <c r="R14">
        <v>0</v>
      </c>
      <c r="S14">
        <v>0</v>
      </c>
      <c r="U14">
        <f t="shared" si="1"/>
        <v>0</v>
      </c>
    </row>
    <row r="15" spans="1:21" x14ac:dyDescent="0.3">
      <c r="A15" t="s">
        <v>108</v>
      </c>
      <c r="B15">
        <f t="shared" si="0"/>
        <v>1</v>
      </c>
      <c r="Q15" t="s">
        <v>110</v>
      </c>
      <c r="R15">
        <v>0</v>
      </c>
      <c r="S15">
        <v>0</v>
      </c>
      <c r="U15">
        <f t="shared" si="1"/>
        <v>0</v>
      </c>
    </row>
    <row r="16" spans="1:21" x14ac:dyDescent="0.3">
      <c r="A16" t="s">
        <v>119</v>
      </c>
      <c r="B16">
        <f t="shared" si="0"/>
        <v>1</v>
      </c>
      <c r="Q16" t="s">
        <v>111</v>
      </c>
      <c r="R16">
        <v>5</v>
      </c>
      <c r="S16">
        <v>1</v>
      </c>
      <c r="U16">
        <f t="shared" si="1"/>
        <v>6</v>
      </c>
    </row>
    <row r="17" spans="1:21" x14ac:dyDescent="0.3">
      <c r="A17" t="s">
        <v>106</v>
      </c>
      <c r="B17">
        <f t="shared" si="0"/>
        <v>1</v>
      </c>
      <c r="Q17" t="s">
        <v>112</v>
      </c>
      <c r="R17">
        <v>0</v>
      </c>
      <c r="S17">
        <v>0</v>
      </c>
      <c r="U17">
        <f t="shared" si="1"/>
        <v>0</v>
      </c>
    </row>
    <row r="18" spans="1:21" x14ac:dyDescent="0.3">
      <c r="A18" t="s">
        <v>112</v>
      </c>
      <c r="B18">
        <f t="shared" si="0"/>
        <v>0</v>
      </c>
      <c r="Q18" t="s">
        <v>113</v>
      </c>
      <c r="R18">
        <v>0</v>
      </c>
      <c r="S18">
        <v>0</v>
      </c>
      <c r="U18">
        <f t="shared" si="1"/>
        <v>0</v>
      </c>
    </row>
    <row r="19" spans="1:21" x14ac:dyDescent="0.3">
      <c r="A19" t="s">
        <v>101</v>
      </c>
      <c r="B19">
        <f t="shared" si="0"/>
        <v>0</v>
      </c>
      <c r="Q19" t="s">
        <v>114</v>
      </c>
      <c r="R19">
        <v>0</v>
      </c>
      <c r="S19">
        <v>0</v>
      </c>
      <c r="U19">
        <f t="shared" si="1"/>
        <v>0</v>
      </c>
    </row>
    <row r="20" spans="1:21" x14ac:dyDescent="0.3">
      <c r="A20" t="s">
        <v>110</v>
      </c>
      <c r="B20">
        <f t="shared" si="0"/>
        <v>0</v>
      </c>
      <c r="Q20" t="s">
        <v>115</v>
      </c>
      <c r="R20">
        <v>2</v>
      </c>
      <c r="S20">
        <v>0</v>
      </c>
      <c r="U20">
        <f t="shared" si="1"/>
        <v>2</v>
      </c>
    </row>
    <row r="21" spans="1:21" x14ac:dyDescent="0.3">
      <c r="A21" t="s">
        <v>113</v>
      </c>
      <c r="B21">
        <f t="shared" si="0"/>
        <v>0</v>
      </c>
      <c r="Q21" t="s">
        <v>116</v>
      </c>
      <c r="R21">
        <v>0</v>
      </c>
      <c r="S21">
        <v>0</v>
      </c>
      <c r="U21">
        <f t="shared" si="1"/>
        <v>0</v>
      </c>
    </row>
    <row r="22" spans="1:21" x14ac:dyDescent="0.3">
      <c r="A22" t="s">
        <v>109</v>
      </c>
      <c r="B22">
        <f t="shared" si="0"/>
        <v>0</v>
      </c>
      <c r="Q22" t="s">
        <v>117</v>
      </c>
      <c r="R22">
        <v>0</v>
      </c>
      <c r="S22">
        <v>0</v>
      </c>
      <c r="U22">
        <f t="shared" si="1"/>
        <v>0</v>
      </c>
    </row>
    <row r="23" spans="1:21" x14ac:dyDescent="0.3">
      <c r="A23" t="s">
        <v>122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116</v>
      </c>
      <c r="B24">
        <f t="shared" si="0"/>
        <v>0</v>
      </c>
      <c r="Q24" t="s">
        <v>119</v>
      </c>
      <c r="R24">
        <v>1</v>
      </c>
      <c r="S24">
        <v>0</v>
      </c>
      <c r="U24">
        <f t="shared" si="1"/>
        <v>1</v>
      </c>
    </row>
    <row r="25" spans="1:21" x14ac:dyDescent="0.3">
      <c r="A25" t="s">
        <v>125</v>
      </c>
      <c r="B25">
        <f t="shared" si="0"/>
        <v>0</v>
      </c>
      <c r="Q25" t="s">
        <v>122</v>
      </c>
      <c r="R25">
        <v>0</v>
      </c>
      <c r="S25">
        <v>0</v>
      </c>
      <c r="U25">
        <f t="shared" si="1"/>
        <v>0</v>
      </c>
    </row>
    <row r="26" spans="1:21" x14ac:dyDescent="0.3">
      <c r="A26" t="s">
        <v>114</v>
      </c>
      <c r="B26">
        <f t="shared" si="0"/>
        <v>0</v>
      </c>
      <c r="Q26" t="s">
        <v>123</v>
      </c>
      <c r="R26">
        <v>0</v>
      </c>
      <c r="S26">
        <v>6</v>
      </c>
      <c r="U26">
        <f t="shared" si="1"/>
        <v>6</v>
      </c>
    </row>
    <row r="27" spans="1:21" x14ac:dyDescent="0.3">
      <c r="A27" t="s">
        <v>118</v>
      </c>
      <c r="B27">
        <f t="shared" si="0"/>
        <v>0</v>
      </c>
      <c r="Q27" t="s">
        <v>125</v>
      </c>
      <c r="R27">
        <v>0</v>
      </c>
      <c r="S27">
        <v>0</v>
      </c>
      <c r="U27">
        <f t="shared" si="1"/>
        <v>0</v>
      </c>
    </row>
    <row r="28" spans="1:21" x14ac:dyDescent="0.3">
      <c r="A28" t="s">
        <v>117</v>
      </c>
      <c r="B28">
        <f t="shared" si="0"/>
        <v>0</v>
      </c>
      <c r="Q28" t="s">
        <v>96</v>
      </c>
      <c r="R28">
        <v>0</v>
      </c>
      <c r="S28">
        <v>0</v>
      </c>
      <c r="T28">
        <v>44</v>
      </c>
      <c r="U28">
        <f t="shared" si="1"/>
        <v>44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3252-86B4-43C7-8E67-12BE8597079A}">
  <dimension ref="A1:U28"/>
  <sheetViews>
    <sheetView zoomScaleNormal="100" workbookViewId="0">
      <selection activeCell="N10" sqref="N10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64</v>
      </c>
      <c r="Q2" t="s">
        <v>97</v>
      </c>
      <c r="R2">
        <v>2</v>
      </c>
      <c r="S2">
        <v>1</v>
      </c>
      <c r="U2">
        <f>R2+S2+T2</f>
        <v>3</v>
      </c>
    </row>
    <row r="3" spans="1:21" x14ac:dyDescent="0.3">
      <c r="A3" t="s">
        <v>99</v>
      </c>
      <c r="B3">
        <f t="shared" si="0"/>
        <v>16</v>
      </c>
      <c r="Q3" t="s">
        <v>98</v>
      </c>
      <c r="R3">
        <v>8</v>
      </c>
      <c r="S3">
        <v>0</v>
      </c>
      <c r="U3">
        <f t="shared" ref="U3:U28" si="1">R3+S3+T3</f>
        <v>8</v>
      </c>
    </row>
    <row r="4" spans="1:21" x14ac:dyDescent="0.3">
      <c r="A4" t="s">
        <v>100</v>
      </c>
      <c r="B4">
        <f t="shared" si="0"/>
        <v>11</v>
      </c>
      <c r="Q4" t="s">
        <v>99</v>
      </c>
      <c r="R4">
        <v>16</v>
      </c>
      <c r="S4">
        <v>0</v>
      </c>
      <c r="U4">
        <f t="shared" si="1"/>
        <v>16</v>
      </c>
    </row>
    <row r="5" spans="1:21" x14ac:dyDescent="0.3">
      <c r="A5" t="s">
        <v>108</v>
      </c>
      <c r="B5">
        <f t="shared" si="0"/>
        <v>9</v>
      </c>
      <c r="Q5" t="s">
        <v>100</v>
      </c>
      <c r="R5">
        <v>9</v>
      </c>
      <c r="S5">
        <v>2</v>
      </c>
      <c r="U5">
        <f t="shared" si="1"/>
        <v>11</v>
      </c>
    </row>
    <row r="6" spans="1:21" x14ac:dyDescent="0.3">
      <c r="A6" t="s">
        <v>98</v>
      </c>
      <c r="B6">
        <f t="shared" si="0"/>
        <v>8</v>
      </c>
      <c r="Q6" t="s">
        <v>101</v>
      </c>
      <c r="R6">
        <v>0</v>
      </c>
      <c r="S6">
        <v>0</v>
      </c>
      <c r="U6">
        <f t="shared" si="1"/>
        <v>0</v>
      </c>
    </row>
    <row r="7" spans="1:21" x14ac:dyDescent="0.3">
      <c r="A7" t="s">
        <v>103</v>
      </c>
      <c r="B7">
        <f t="shared" si="0"/>
        <v>8</v>
      </c>
      <c r="Q7" t="s">
        <v>102</v>
      </c>
      <c r="R7">
        <v>3</v>
      </c>
      <c r="S7">
        <v>0</v>
      </c>
      <c r="U7">
        <f t="shared" si="1"/>
        <v>3</v>
      </c>
    </row>
    <row r="8" spans="1:21" x14ac:dyDescent="0.3">
      <c r="A8" t="s">
        <v>104</v>
      </c>
      <c r="B8">
        <f t="shared" si="0"/>
        <v>7</v>
      </c>
      <c r="Q8" t="s">
        <v>103</v>
      </c>
      <c r="R8">
        <v>8</v>
      </c>
      <c r="S8">
        <v>0</v>
      </c>
      <c r="U8">
        <f t="shared" si="1"/>
        <v>8</v>
      </c>
    </row>
    <row r="9" spans="1:21" x14ac:dyDescent="0.3">
      <c r="A9" t="s">
        <v>111</v>
      </c>
      <c r="B9">
        <f t="shared" si="0"/>
        <v>4</v>
      </c>
      <c r="Q9" t="s">
        <v>104</v>
      </c>
      <c r="R9">
        <v>7</v>
      </c>
      <c r="S9">
        <v>0</v>
      </c>
      <c r="U9">
        <f t="shared" si="1"/>
        <v>7</v>
      </c>
    </row>
    <row r="10" spans="1:21" x14ac:dyDescent="0.3">
      <c r="A10" t="s">
        <v>97</v>
      </c>
      <c r="B10">
        <f t="shared" si="0"/>
        <v>3</v>
      </c>
      <c r="Q10" t="s">
        <v>105</v>
      </c>
      <c r="R10">
        <v>2</v>
      </c>
      <c r="S10">
        <v>1</v>
      </c>
      <c r="U10">
        <f t="shared" si="1"/>
        <v>3</v>
      </c>
    </row>
    <row r="11" spans="1:21" x14ac:dyDescent="0.3">
      <c r="A11" t="s">
        <v>102</v>
      </c>
      <c r="B11">
        <f t="shared" si="0"/>
        <v>3</v>
      </c>
      <c r="Q11" t="s">
        <v>106</v>
      </c>
      <c r="R11">
        <v>1</v>
      </c>
      <c r="S11">
        <v>0</v>
      </c>
      <c r="U11">
        <f t="shared" si="1"/>
        <v>1</v>
      </c>
    </row>
    <row r="12" spans="1:21" x14ac:dyDescent="0.3">
      <c r="A12" t="s">
        <v>105</v>
      </c>
      <c r="B12">
        <f t="shared" si="0"/>
        <v>3</v>
      </c>
      <c r="Q12" t="s">
        <v>107</v>
      </c>
      <c r="R12">
        <v>2</v>
      </c>
      <c r="S12">
        <v>0</v>
      </c>
      <c r="U12">
        <f t="shared" si="1"/>
        <v>2</v>
      </c>
    </row>
    <row r="13" spans="1:21" x14ac:dyDescent="0.3">
      <c r="A13" t="s">
        <v>123</v>
      </c>
      <c r="B13">
        <f t="shared" si="0"/>
        <v>2</v>
      </c>
      <c r="Q13" t="s">
        <v>108</v>
      </c>
      <c r="R13">
        <v>8</v>
      </c>
      <c r="S13">
        <v>1</v>
      </c>
      <c r="U13">
        <f t="shared" si="1"/>
        <v>9</v>
      </c>
    </row>
    <row r="14" spans="1:21" x14ac:dyDescent="0.3">
      <c r="A14" t="s">
        <v>107</v>
      </c>
      <c r="B14">
        <f t="shared" si="0"/>
        <v>2</v>
      </c>
      <c r="Q14" t="s">
        <v>109</v>
      </c>
      <c r="R14">
        <v>1</v>
      </c>
      <c r="S14">
        <v>0</v>
      </c>
      <c r="U14">
        <f t="shared" si="1"/>
        <v>1</v>
      </c>
    </row>
    <row r="15" spans="1:21" x14ac:dyDescent="0.3">
      <c r="A15" t="s">
        <v>115</v>
      </c>
      <c r="B15">
        <f t="shared" si="0"/>
        <v>1</v>
      </c>
      <c r="Q15" t="s">
        <v>110</v>
      </c>
      <c r="R15">
        <v>0</v>
      </c>
      <c r="S15">
        <v>0</v>
      </c>
      <c r="U15">
        <f t="shared" si="1"/>
        <v>0</v>
      </c>
    </row>
    <row r="16" spans="1:21" x14ac:dyDescent="0.3">
      <c r="A16" t="s">
        <v>106</v>
      </c>
      <c r="B16">
        <f t="shared" si="0"/>
        <v>1</v>
      </c>
      <c r="Q16" t="s">
        <v>111</v>
      </c>
      <c r="R16">
        <v>4</v>
      </c>
      <c r="S16">
        <v>0</v>
      </c>
      <c r="U16">
        <f t="shared" si="1"/>
        <v>4</v>
      </c>
    </row>
    <row r="17" spans="1:21" x14ac:dyDescent="0.3">
      <c r="A17" t="s">
        <v>112</v>
      </c>
      <c r="B17">
        <f t="shared" si="0"/>
        <v>1</v>
      </c>
      <c r="Q17" t="s">
        <v>112</v>
      </c>
      <c r="R17">
        <v>1</v>
      </c>
      <c r="S17">
        <v>0</v>
      </c>
      <c r="U17">
        <f t="shared" si="1"/>
        <v>1</v>
      </c>
    </row>
    <row r="18" spans="1:21" x14ac:dyDescent="0.3">
      <c r="A18" t="s">
        <v>109</v>
      </c>
      <c r="B18">
        <f t="shared" si="0"/>
        <v>1</v>
      </c>
      <c r="Q18" t="s">
        <v>113</v>
      </c>
      <c r="R18">
        <v>0</v>
      </c>
      <c r="S18">
        <v>0</v>
      </c>
      <c r="U18">
        <f t="shared" si="1"/>
        <v>0</v>
      </c>
    </row>
    <row r="19" spans="1:21" x14ac:dyDescent="0.3">
      <c r="A19" t="s">
        <v>119</v>
      </c>
      <c r="B19">
        <f t="shared" si="0"/>
        <v>0</v>
      </c>
      <c r="Q19" t="s">
        <v>114</v>
      </c>
      <c r="R19">
        <v>0</v>
      </c>
      <c r="S19">
        <v>0</v>
      </c>
      <c r="U19">
        <f t="shared" si="1"/>
        <v>0</v>
      </c>
    </row>
    <row r="20" spans="1:21" x14ac:dyDescent="0.3">
      <c r="A20" t="s">
        <v>101</v>
      </c>
      <c r="B20">
        <f t="shared" si="0"/>
        <v>0</v>
      </c>
      <c r="Q20" t="s">
        <v>115</v>
      </c>
      <c r="R20">
        <v>0</v>
      </c>
      <c r="S20">
        <v>1</v>
      </c>
      <c r="U20">
        <f t="shared" si="1"/>
        <v>1</v>
      </c>
    </row>
    <row r="21" spans="1:21" x14ac:dyDescent="0.3">
      <c r="A21" t="s">
        <v>110</v>
      </c>
      <c r="B21">
        <f t="shared" si="0"/>
        <v>0</v>
      </c>
      <c r="Q21" t="s">
        <v>116</v>
      </c>
      <c r="R21">
        <v>0</v>
      </c>
      <c r="S21">
        <v>0</v>
      </c>
      <c r="U21">
        <f t="shared" si="1"/>
        <v>0</v>
      </c>
    </row>
    <row r="22" spans="1:21" x14ac:dyDescent="0.3">
      <c r="A22" t="s">
        <v>113</v>
      </c>
      <c r="B22">
        <f t="shared" si="0"/>
        <v>0</v>
      </c>
      <c r="Q22" t="s">
        <v>117</v>
      </c>
      <c r="R22">
        <v>0</v>
      </c>
      <c r="S22">
        <v>0</v>
      </c>
      <c r="U22">
        <f t="shared" si="1"/>
        <v>0</v>
      </c>
    </row>
    <row r="23" spans="1:21" x14ac:dyDescent="0.3">
      <c r="A23" t="s">
        <v>122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116</v>
      </c>
      <c r="B24">
        <f t="shared" si="0"/>
        <v>0</v>
      </c>
      <c r="Q24" t="s">
        <v>119</v>
      </c>
      <c r="R24">
        <v>0</v>
      </c>
      <c r="S24">
        <v>0</v>
      </c>
      <c r="U24">
        <f t="shared" si="1"/>
        <v>0</v>
      </c>
    </row>
    <row r="25" spans="1:21" x14ac:dyDescent="0.3">
      <c r="A25" t="s">
        <v>125</v>
      </c>
      <c r="B25">
        <f t="shared" si="0"/>
        <v>0</v>
      </c>
      <c r="Q25" t="s">
        <v>122</v>
      </c>
      <c r="R25">
        <v>0</v>
      </c>
      <c r="S25">
        <v>0</v>
      </c>
      <c r="U25">
        <f t="shared" si="1"/>
        <v>0</v>
      </c>
    </row>
    <row r="26" spans="1:21" x14ac:dyDescent="0.3">
      <c r="A26" t="s">
        <v>114</v>
      </c>
      <c r="B26">
        <f t="shared" si="0"/>
        <v>0</v>
      </c>
      <c r="Q26" t="s">
        <v>123</v>
      </c>
      <c r="R26">
        <v>0</v>
      </c>
      <c r="S26">
        <v>2</v>
      </c>
      <c r="U26">
        <f t="shared" si="1"/>
        <v>2</v>
      </c>
    </row>
    <row r="27" spans="1:21" x14ac:dyDescent="0.3">
      <c r="A27" t="s">
        <v>118</v>
      </c>
      <c r="B27">
        <f t="shared" si="0"/>
        <v>0</v>
      </c>
      <c r="Q27" t="s">
        <v>125</v>
      </c>
      <c r="R27">
        <v>0</v>
      </c>
      <c r="S27">
        <v>0</v>
      </c>
      <c r="U27">
        <f t="shared" si="1"/>
        <v>0</v>
      </c>
    </row>
    <row r="28" spans="1:21" x14ac:dyDescent="0.3">
      <c r="A28" t="s">
        <v>117</v>
      </c>
      <c r="B28">
        <f t="shared" si="0"/>
        <v>0</v>
      </c>
      <c r="Q28" t="s">
        <v>96</v>
      </c>
      <c r="R28">
        <v>0</v>
      </c>
      <c r="S28">
        <v>0</v>
      </c>
      <c r="T28">
        <v>64</v>
      </c>
      <c r="U28">
        <f t="shared" si="1"/>
        <v>64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C9AA-B3A0-4CE4-B982-62596818607D}">
  <dimension ref="A1:U28"/>
  <sheetViews>
    <sheetView topLeftCell="A37" zoomScaleNormal="100" workbookViewId="0">
      <selection activeCell="Q41" sqref="Q41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38</v>
      </c>
      <c r="Q2" t="s">
        <v>97</v>
      </c>
      <c r="R2">
        <v>3</v>
      </c>
      <c r="S2">
        <v>0</v>
      </c>
      <c r="U2">
        <f>R2+S2+T2</f>
        <v>3</v>
      </c>
    </row>
    <row r="3" spans="1:21" x14ac:dyDescent="0.3">
      <c r="A3" t="s">
        <v>99</v>
      </c>
      <c r="B3">
        <f t="shared" si="0"/>
        <v>14</v>
      </c>
      <c r="Q3" t="s">
        <v>98</v>
      </c>
      <c r="R3">
        <v>10</v>
      </c>
      <c r="S3">
        <v>2</v>
      </c>
      <c r="U3">
        <f t="shared" ref="U3:U28" si="1">R3+S3+T3</f>
        <v>12</v>
      </c>
    </row>
    <row r="4" spans="1:21" x14ac:dyDescent="0.3">
      <c r="A4" t="s">
        <v>104</v>
      </c>
      <c r="B4">
        <f t="shared" si="0"/>
        <v>14</v>
      </c>
      <c r="Q4" t="s">
        <v>99</v>
      </c>
      <c r="R4">
        <v>13</v>
      </c>
      <c r="S4">
        <v>1</v>
      </c>
      <c r="U4">
        <f t="shared" si="1"/>
        <v>14</v>
      </c>
    </row>
    <row r="5" spans="1:21" x14ac:dyDescent="0.3">
      <c r="A5" t="s">
        <v>98</v>
      </c>
      <c r="B5">
        <f t="shared" si="0"/>
        <v>12</v>
      </c>
      <c r="Q5" t="s">
        <v>100</v>
      </c>
      <c r="R5">
        <v>3</v>
      </c>
      <c r="S5">
        <v>0</v>
      </c>
      <c r="U5">
        <f t="shared" si="1"/>
        <v>3</v>
      </c>
    </row>
    <row r="6" spans="1:21" x14ac:dyDescent="0.3">
      <c r="A6" t="s">
        <v>103</v>
      </c>
      <c r="B6">
        <f t="shared" si="0"/>
        <v>7</v>
      </c>
      <c r="Q6" t="s">
        <v>101</v>
      </c>
      <c r="R6">
        <v>1</v>
      </c>
      <c r="S6">
        <v>0</v>
      </c>
      <c r="U6">
        <f t="shared" si="1"/>
        <v>1</v>
      </c>
    </row>
    <row r="7" spans="1:21" x14ac:dyDescent="0.3">
      <c r="A7" t="s">
        <v>111</v>
      </c>
      <c r="B7">
        <f t="shared" si="0"/>
        <v>4</v>
      </c>
      <c r="Q7" t="s">
        <v>102</v>
      </c>
      <c r="R7">
        <v>2</v>
      </c>
      <c r="S7">
        <v>0</v>
      </c>
      <c r="U7">
        <f t="shared" si="1"/>
        <v>2</v>
      </c>
    </row>
    <row r="8" spans="1:21" x14ac:dyDescent="0.3">
      <c r="A8" t="s">
        <v>100</v>
      </c>
      <c r="B8">
        <f t="shared" si="0"/>
        <v>3</v>
      </c>
      <c r="Q8" t="s">
        <v>103</v>
      </c>
      <c r="R8">
        <v>7</v>
      </c>
      <c r="S8">
        <v>0</v>
      </c>
      <c r="U8">
        <f t="shared" si="1"/>
        <v>7</v>
      </c>
    </row>
    <row r="9" spans="1:21" x14ac:dyDescent="0.3">
      <c r="A9" t="s">
        <v>108</v>
      </c>
      <c r="B9">
        <f t="shared" si="0"/>
        <v>3</v>
      </c>
      <c r="Q9" t="s">
        <v>104</v>
      </c>
      <c r="R9">
        <v>14</v>
      </c>
      <c r="S9">
        <v>0</v>
      </c>
      <c r="U9">
        <f t="shared" si="1"/>
        <v>14</v>
      </c>
    </row>
    <row r="10" spans="1:21" x14ac:dyDescent="0.3">
      <c r="A10" t="s">
        <v>97</v>
      </c>
      <c r="B10">
        <f t="shared" si="0"/>
        <v>3</v>
      </c>
      <c r="Q10" t="s">
        <v>105</v>
      </c>
      <c r="R10">
        <v>3</v>
      </c>
      <c r="S10">
        <v>0</v>
      </c>
      <c r="U10">
        <f t="shared" si="1"/>
        <v>3</v>
      </c>
    </row>
    <row r="11" spans="1:21" x14ac:dyDescent="0.3">
      <c r="A11" t="s">
        <v>105</v>
      </c>
      <c r="B11">
        <f t="shared" si="0"/>
        <v>3</v>
      </c>
      <c r="Q11" t="s">
        <v>106</v>
      </c>
      <c r="R11">
        <v>0</v>
      </c>
      <c r="S11">
        <v>0</v>
      </c>
      <c r="U11">
        <f t="shared" si="1"/>
        <v>0</v>
      </c>
    </row>
    <row r="12" spans="1:21" x14ac:dyDescent="0.3">
      <c r="A12" t="s">
        <v>123</v>
      </c>
      <c r="B12">
        <f t="shared" si="0"/>
        <v>3</v>
      </c>
      <c r="Q12" t="s">
        <v>107</v>
      </c>
      <c r="R12">
        <v>1</v>
      </c>
      <c r="S12">
        <v>0</v>
      </c>
      <c r="U12">
        <f t="shared" si="1"/>
        <v>1</v>
      </c>
    </row>
    <row r="13" spans="1:21" x14ac:dyDescent="0.3">
      <c r="A13" t="s">
        <v>102</v>
      </c>
      <c r="B13">
        <f t="shared" si="0"/>
        <v>2</v>
      </c>
      <c r="Q13" t="s">
        <v>108</v>
      </c>
      <c r="R13">
        <v>3</v>
      </c>
      <c r="S13">
        <v>0</v>
      </c>
      <c r="U13">
        <f t="shared" si="1"/>
        <v>3</v>
      </c>
    </row>
    <row r="14" spans="1:21" x14ac:dyDescent="0.3">
      <c r="A14" t="s">
        <v>115</v>
      </c>
      <c r="B14">
        <f t="shared" si="0"/>
        <v>2</v>
      </c>
      <c r="Q14" t="s">
        <v>109</v>
      </c>
      <c r="R14">
        <v>1</v>
      </c>
      <c r="S14">
        <v>0</v>
      </c>
      <c r="U14">
        <f t="shared" si="1"/>
        <v>1</v>
      </c>
    </row>
    <row r="15" spans="1:21" x14ac:dyDescent="0.3">
      <c r="A15" t="s">
        <v>107</v>
      </c>
      <c r="B15">
        <f t="shared" si="0"/>
        <v>1</v>
      </c>
      <c r="Q15" t="s">
        <v>110</v>
      </c>
      <c r="R15">
        <v>1</v>
      </c>
      <c r="S15">
        <v>0</v>
      </c>
      <c r="U15">
        <f t="shared" si="1"/>
        <v>1</v>
      </c>
    </row>
    <row r="16" spans="1:21" x14ac:dyDescent="0.3">
      <c r="A16" t="s">
        <v>109</v>
      </c>
      <c r="B16">
        <f t="shared" si="0"/>
        <v>1</v>
      </c>
      <c r="Q16" t="s">
        <v>111</v>
      </c>
      <c r="R16">
        <v>4</v>
      </c>
      <c r="S16">
        <v>0</v>
      </c>
      <c r="U16">
        <f t="shared" si="1"/>
        <v>4</v>
      </c>
    </row>
    <row r="17" spans="1:21" x14ac:dyDescent="0.3">
      <c r="A17" t="s">
        <v>119</v>
      </c>
      <c r="B17">
        <f t="shared" si="0"/>
        <v>1</v>
      </c>
      <c r="Q17" t="s">
        <v>112</v>
      </c>
      <c r="R17">
        <v>0</v>
      </c>
      <c r="S17">
        <v>0</v>
      </c>
      <c r="U17">
        <f t="shared" si="1"/>
        <v>0</v>
      </c>
    </row>
    <row r="18" spans="1:21" x14ac:dyDescent="0.3">
      <c r="A18" t="s">
        <v>101</v>
      </c>
      <c r="B18">
        <f t="shared" si="0"/>
        <v>1</v>
      </c>
      <c r="Q18" t="s">
        <v>113</v>
      </c>
      <c r="R18">
        <v>0</v>
      </c>
      <c r="S18">
        <v>0</v>
      </c>
      <c r="U18">
        <f t="shared" si="1"/>
        <v>0</v>
      </c>
    </row>
    <row r="19" spans="1:21" x14ac:dyDescent="0.3">
      <c r="A19" t="s">
        <v>110</v>
      </c>
      <c r="B19">
        <f t="shared" si="0"/>
        <v>1</v>
      </c>
      <c r="Q19" t="s">
        <v>114</v>
      </c>
      <c r="R19">
        <v>0</v>
      </c>
      <c r="S19">
        <v>0</v>
      </c>
      <c r="U19">
        <f t="shared" si="1"/>
        <v>0</v>
      </c>
    </row>
    <row r="20" spans="1:21" x14ac:dyDescent="0.3">
      <c r="A20" t="s">
        <v>122</v>
      </c>
      <c r="B20">
        <f t="shared" si="0"/>
        <v>1</v>
      </c>
      <c r="Q20" t="s">
        <v>115</v>
      </c>
      <c r="R20">
        <v>2</v>
      </c>
      <c r="S20">
        <v>0</v>
      </c>
      <c r="U20">
        <f t="shared" si="1"/>
        <v>2</v>
      </c>
    </row>
    <row r="21" spans="1:21" x14ac:dyDescent="0.3">
      <c r="A21" t="s">
        <v>106</v>
      </c>
      <c r="B21">
        <f t="shared" si="0"/>
        <v>0</v>
      </c>
      <c r="Q21" t="s">
        <v>116</v>
      </c>
      <c r="R21">
        <v>0</v>
      </c>
      <c r="S21">
        <v>0</v>
      </c>
      <c r="U21">
        <f t="shared" si="1"/>
        <v>0</v>
      </c>
    </row>
    <row r="22" spans="1:21" x14ac:dyDescent="0.3">
      <c r="A22" t="s">
        <v>112</v>
      </c>
      <c r="B22">
        <f t="shared" si="0"/>
        <v>0</v>
      </c>
      <c r="Q22" t="s">
        <v>117</v>
      </c>
      <c r="R22">
        <v>0</v>
      </c>
      <c r="S22">
        <v>0</v>
      </c>
      <c r="U22">
        <f t="shared" si="1"/>
        <v>0</v>
      </c>
    </row>
    <row r="23" spans="1:21" x14ac:dyDescent="0.3">
      <c r="A23" t="s">
        <v>113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116</v>
      </c>
      <c r="B24">
        <f t="shared" si="0"/>
        <v>0</v>
      </c>
      <c r="Q24" t="s">
        <v>119</v>
      </c>
      <c r="R24">
        <v>1</v>
      </c>
      <c r="S24">
        <v>0</v>
      </c>
      <c r="U24">
        <f t="shared" si="1"/>
        <v>1</v>
      </c>
    </row>
    <row r="25" spans="1:21" x14ac:dyDescent="0.3">
      <c r="A25" t="s">
        <v>125</v>
      </c>
      <c r="B25">
        <f t="shared" si="0"/>
        <v>0</v>
      </c>
      <c r="Q25" t="s">
        <v>122</v>
      </c>
      <c r="R25">
        <v>0</v>
      </c>
      <c r="S25">
        <v>1</v>
      </c>
      <c r="U25">
        <f t="shared" si="1"/>
        <v>1</v>
      </c>
    </row>
    <row r="26" spans="1:21" x14ac:dyDescent="0.3">
      <c r="A26" t="s">
        <v>114</v>
      </c>
      <c r="B26">
        <f t="shared" si="0"/>
        <v>0</v>
      </c>
      <c r="Q26" t="s">
        <v>123</v>
      </c>
      <c r="R26">
        <v>0</v>
      </c>
      <c r="S26">
        <v>3</v>
      </c>
      <c r="U26">
        <f t="shared" si="1"/>
        <v>3</v>
      </c>
    </row>
    <row r="27" spans="1:21" x14ac:dyDescent="0.3">
      <c r="A27" t="s">
        <v>118</v>
      </c>
      <c r="B27">
        <f t="shared" si="0"/>
        <v>0</v>
      </c>
      <c r="Q27" t="s">
        <v>125</v>
      </c>
      <c r="R27">
        <v>0</v>
      </c>
      <c r="S27">
        <v>0</v>
      </c>
      <c r="U27">
        <f t="shared" si="1"/>
        <v>0</v>
      </c>
    </row>
    <row r="28" spans="1:21" x14ac:dyDescent="0.3">
      <c r="A28" t="s">
        <v>117</v>
      </c>
      <c r="B28">
        <f t="shared" si="0"/>
        <v>0</v>
      </c>
      <c r="Q28" t="s">
        <v>96</v>
      </c>
      <c r="R28">
        <v>0</v>
      </c>
      <c r="S28">
        <v>0</v>
      </c>
      <c r="T28">
        <v>38</v>
      </c>
      <c r="U28">
        <f t="shared" si="1"/>
        <v>38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265DE-176C-424C-B80A-E12225ECA748}">
  <dimension ref="A1:U28"/>
  <sheetViews>
    <sheetView topLeftCell="A25" zoomScaleNormal="100" workbookViewId="0">
      <selection activeCell="N41" sqref="N41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44</v>
      </c>
      <c r="Q2" t="s">
        <v>97</v>
      </c>
      <c r="R2">
        <v>3</v>
      </c>
      <c r="S2">
        <v>0</v>
      </c>
      <c r="U2">
        <f>R2+S2+T2</f>
        <v>3</v>
      </c>
    </row>
    <row r="3" spans="1:21" x14ac:dyDescent="0.3">
      <c r="A3" t="s">
        <v>103</v>
      </c>
      <c r="B3">
        <f t="shared" si="0"/>
        <v>17</v>
      </c>
      <c r="Q3" t="s">
        <v>98</v>
      </c>
      <c r="R3">
        <v>12</v>
      </c>
      <c r="S3">
        <v>1</v>
      </c>
      <c r="U3">
        <f t="shared" ref="U3:U28" si="1">R3+S3+T3</f>
        <v>13</v>
      </c>
    </row>
    <row r="4" spans="1:21" x14ac:dyDescent="0.3">
      <c r="A4" t="s">
        <v>99</v>
      </c>
      <c r="B4">
        <f t="shared" si="0"/>
        <v>16</v>
      </c>
      <c r="Q4" t="s">
        <v>99</v>
      </c>
      <c r="R4">
        <v>16</v>
      </c>
      <c r="S4">
        <v>0</v>
      </c>
      <c r="U4">
        <f t="shared" si="1"/>
        <v>16</v>
      </c>
    </row>
    <row r="5" spans="1:21" x14ac:dyDescent="0.3">
      <c r="A5" t="s">
        <v>98</v>
      </c>
      <c r="B5">
        <f t="shared" si="0"/>
        <v>13</v>
      </c>
      <c r="Q5" t="s">
        <v>100</v>
      </c>
      <c r="R5">
        <v>4</v>
      </c>
      <c r="S5">
        <v>1</v>
      </c>
      <c r="U5">
        <f t="shared" si="1"/>
        <v>5</v>
      </c>
    </row>
    <row r="6" spans="1:21" x14ac:dyDescent="0.3">
      <c r="A6" t="s">
        <v>104</v>
      </c>
      <c r="B6">
        <f t="shared" si="0"/>
        <v>10</v>
      </c>
      <c r="Q6" t="s">
        <v>101</v>
      </c>
      <c r="R6">
        <v>0</v>
      </c>
      <c r="S6">
        <v>0</v>
      </c>
      <c r="U6">
        <f t="shared" si="1"/>
        <v>0</v>
      </c>
    </row>
    <row r="7" spans="1:21" x14ac:dyDescent="0.3">
      <c r="A7" t="s">
        <v>111</v>
      </c>
      <c r="B7">
        <f t="shared" si="0"/>
        <v>6</v>
      </c>
      <c r="Q7" t="s">
        <v>102</v>
      </c>
      <c r="R7">
        <v>3</v>
      </c>
      <c r="S7">
        <v>0</v>
      </c>
      <c r="U7">
        <f t="shared" si="1"/>
        <v>3</v>
      </c>
    </row>
    <row r="8" spans="1:21" x14ac:dyDescent="0.3">
      <c r="A8" t="s">
        <v>105</v>
      </c>
      <c r="B8">
        <f t="shared" si="0"/>
        <v>6</v>
      </c>
      <c r="Q8" t="s">
        <v>103</v>
      </c>
      <c r="R8">
        <v>17</v>
      </c>
      <c r="S8">
        <v>0</v>
      </c>
      <c r="U8">
        <f t="shared" si="1"/>
        <v>17</v>
      </c>
    </row>
    <row r="9" spans="1:21" x14ac:dyDescent="0.3">
      <c r="A9" t="s">
        <v>100</v>
      </c>
      <c r="B9">
        <f t="shared" si="0"/>
        <v>5</v>
      </c>
      <c r="Q9" t="s">
        <v>104</v>
      </c>
      <c r="R9">
        <v>10</v>
      </c>
      <c r="S9">
        <v>0</v>
      </c>
      <c r="U9">
        <f t="shared" si="1"/>
        <v>10</v>
      </c>
    </row>
    <row r="10" spans="1:21" x14ac:dyDescent="0.3">
      <c r="A10" t="s">
        <v>109</v>
      </c>
      <c r="B10">
        <f t="shared" si="0"/>
        <v>4</v>
      </c>
      <c r="Q10" t="s">
        <v>105</v>
      </c>
      <c r="R10">
        <v>6</v>
      </c>
      <c r="S10">
        <v>0</v>
      </c>
      <c r="U10">
        <f t="shared" si="1"/>
        <v>6</v>
      </c>
    </row>
    <row r="11" spans="1:21" x14ac:dyDescent="0.3">
      <c r="A11" t="s">
        <v>97</v>
      </c>
      <c r="B11">
        <f t="shared" si="0"/>
        <v>3</v>
      </c>
      <c r="Q11" t="s">
        <v>106</v>
      </c>
      <c r="R11">
        <v>0</v>
      </c>
      <c r="S11">
        <v>0</v>
      </c>
      <c r="U11">
        <f t="shared" si="1"/>
        <v>0</v>
      </c>
    </row>
    <row r="12" spans="1:21" x14ac:dyDescent="0.3">
      <c r="A12" t="s">
        <v>102</v>
      </c>
      <c r="B12">
        <f t="shared" si="0"/>
        <v>3</v>
      </c>
      <c r="Q12" t="s">
        <v>107</v>
      </c>
      <c r="R12">
        <v>1</v>
      </c>
      <c r="S12">
        <v>0</v>
      </c>
      <c r="U12">
        <f t="shared" si="1"/>
        <v>1</v>
      </c>
    </row>
    <row r="13" spans="1:21" x14ac:dyDescent="0.3">
      <c r="A13" t="s">
        <v>123</v>
      </c>
      <c r="B13">
        <f t="shared" si="0"/>
        <v>2</v>
      </c>
      <c r="Q13" t="s">
        <v>108</v>
      </c>
      <c r="R13">
        <v>0</v>
      </c>
      <c r="S13">
        <v>0</v>
      </c>
      <c r="U13">
        <f t="shared" si="1"/>
        <v>0</v>
      </c>
    </row>
    <row r="14" spans="1:21" x14ac:dyDescent="0.3">
      <c r="A14" t="s">
        <v>107</v>
      </c>
      <c r="B14">
        <f t="shared" si="0"/>
        <v>1</v>
      </c>
      <c r="Q14" t="s">
        <v>109</v>
      </c>
      <c r="R14">
        <v>4</v>
      </c>
      <c r="S14">
        <v>0</v>
      </c>
      <c r="U14">
        <f t="shared" si="1"/>
        <v>4</v>
      </c>
    </row>
    <row r="15" spans="1:21" x14ac:dyDescent="0.3">
      <c r="A15" t="s">
        <v>110</v>
      </c>
      <c r="B15">
        <f t="shared" si="0"/>
        <v>1</v>
      </c>
      <c r="Q15" t="s">
        <v>110</v>
      </c>
      <c r="R15">
        <v>1</v>
      </c>
      <c r="S15">
        <v>0</v>
      </c>
      <c r="U15">
        <f t="shared" si="1"/>
        <v>1</v>
      </c>
    </row>
    <row r="16" spans="1:21" x14ac:dyDescent="0.3">
      <c r="A16" t="s">
        <v>112</v>
      </c>
      <c r="B16">
        <f t="shared" si="0"/>
        <v>1</v>
      </c>
      <c r="Q16" t="s">
        <v>111</v>
      </c>
      <c r="R16">
        <v>6</v>
      </c>
      <c r="S16">
        <v>0</v>
      </c>
      <c r="U16">
        <f t="shared" si="1"/>
        <v>6</v>
      </c>
    </row>
    <row r="17" spans="1:21" x14ac:dyDescent="0.3">
      <c r="A17" t="s">
        <v>118</v>
      </c>
      <c r="B17">
        <f t="shared" si="0"/>
        <v>1</v>
      </c>
      <c r="Q17" t="s">
        <v>112</v>
      </c>
      <c r="R17">
        <v>1</v>
      </c>
      <c r="S17">
        <v>0</v>
      </c>
      <c r="U17">
        <f t="shared" si="1"/>
        <v>1</v>
      </c>
    </row>
    <row r="18" spans="1:21" x14ac:dyDescent="0.3">
      <c r="A18" t="s">
        <v>108</v>
      </c>
      <c r="B18">
        <f t="shared" si="0"/>
        <v>0</v>
      </c>
      <c r="Q18" t="s">
        <v>113</v>
      </c>
      <c r="R18">
        <v>0</v>
      </c>
      <c r="S18">
        <v>0</v>
      </c>
      <c r="U18">
        <f t="shared" si="1"/>
        <v>0</v>
      </c>
    </row>
    <row r="19" spans="1:21" x14ac:dyDescent="0.3">
      <c r="A19" t="s">
        <v>115</v>
      </c>
      <c r="B19">
        <f t="shared" si="0"/>
        <v>0</v>
      </c>
      <c r="Q19" t="s">
        <v>114</v>
      </c>
      <c r="R19">
        <v>0</v>
      </c>
      <c r="S19">
        <v>0</v>
      </c>
      <c r="U19">
        <f t="shared" si="1"/>
        <v>0</v>
      </c>
    </row>
    <row r="20" spans="1:21" x14ac:dyDescent="0.3">
      <c r="A20" t="s">
        <v>119</v>
      </c>
      <c r="B20">
        <f t="shared" si="0"/>
        <v>0</v>
      </c>
      <c r="Q20" t="s">
        <v>115</v>
      </c>
      <c r="R20">
        <v>0</v>
      </c>
      <c r="S20">
        <v>0</v>
      </c>
      <c r="U20">
        <f t="shared" si="1"/>
        <v>0</v>
      </c>
    </row>
    <row r="21" spans="1:21" x14ac:dyDescent="0.3">
      <c r="A21" t="s">
        <v>101</v>
      </c>
      <c r="B21">
        <f t="shared" si="0"/>
        <v>0</v>
      </c>
      <c r="Q21" t="s">
        <v>116</v>
      </c>
      <c r="R21">
        <v>0</v>
      </c>
      <c r="S21">
        <v>0</v>
      </c>
      <c r="U21">
        <f t="shared" si="1"/>
        <v>0</v>
      </c>
    </row>
    <row r="22" spans="1:21" x14ac:dyDescent="0.3">
      <c r="A22" t="s">
        <v>122</v>
      </c>
      <c r="B22">
        <f t="shared" si="0"/>
        <v>0</v>
      </c>
      <c r="Q22" t="s">
        <v>117</v>
      </c>
      <c r="R22">
        <v>0</v>
      </c>
      <c r="S22">
        <v>0</v>
      </c>
      <c r="U22">
        <f t="shared" si="1"/>
        <v>0</v>
      </c>
    </row>
    <row r="23" spans="1:21" x14ac:dyDescent="0.3">
      <c r="A23" t="s">
        <v>106</v>
      </c>
      <c r="B23">
        <f t="shared" si="0"/>
        <v>0</v>
      </c>
      <c r="Q23" t="s">
        <v>118</v>
      </c>
      <c r="R23">
        <v>1</v>
      </c>
      <c r="S23">
        <v>0</v>
      </c>
      <c r="U23">
        <f t="shared" si="1"/>
        <v>1</v>
      </c>
    </row>
    <row r="24" spans="1:21" x14ac:dyDescent="0.3">
      <c r="A24" t="s">
        <v>113</v>
      </c>
      <c r="B24">
        <f t="shared" si="0"/>
        <v>0</v>
      </c>
      <c r="Q24" t="s">
        <v>119</v>
      </c>
      <c r="R24">
        <v>0</v>
      </c>
      <c r="S24">
        <v>0</v>
      </c>
      <c r="U24">
        <f t="shared" si="1"/>
        <v>0</v>
      </c>
    </row>
    <row r="25" spans="1:21" x14ac:dyDescent="0.3">
      <c r="A25" t="s">
        <v>116</v>
      </c>
      <c r="B25">
        <f t="shared" si="0"/>
        <v>0</v>
      </c>
      <c r="Q25" t="s">
        <v>122</v>
      </c>
      <c r="R25">
        <v>0</v>
      </c>
      <c r="S25">
        <v>0</v>
      </c>
      <c r="U25">
        <f t="shared" si="1"/>
        <v>0</v>
      </c>
    </row>
    <row r="26" spans="1:21" x14ac:dyDescent="0.3">
      <c r="A26" t="s">
        <v>125</v>
      </c>
      <c r="B26">
        <f t="shared" si="0"/>
        <v>0</v>
      </c>
      <c r="Q26" t="s">
        <v>123</v>
      </c>
      <c r="R26">
        <v>0</v>
      </c>
      <c r="S26">
        <v>2</v>
      </c>
      <c r="U26">
        <f t="shared" si="1"/>
        <v>2</v>
      </c>
    </row>
    <row r="27" spans="1:21" x14ac:dyDescent="0.3">
      <c r="A27" t="s">
        <v>114</v>
      </c>
      <c r="B27">
        <f t="shared" si="0"/>
        <v>0</v>
      </c>
      <c r="Q27" t="s">
        <v>125</v>
      </c>
      <c r="R27">
        <v>0</v>
      </c>
      <c r="S27">
        <v>0</v>
      </c>
      <c r="U27">
        <f t="shared" si="1"/>
        <v>0</v>
      </c>
    </row>
    <row r="28" spans="1:21" x14ac:dyDescent="0.3">
      <c r="A28" t="s">
        <v>117</v>
      </c>
      <c r="B28">
        <f t="shared" si="0"/>
        <v>0</v>
      </c>
      <c r="Q28" t="s">
        <v>96</v>
      </c>
      <c r="R28">
        <v>0</v>
      </c>
      <c r="S28">
        <v>0</v>
      </c>
      <c r="T28">
        <v>44</v>
      </c>
      <c r="U28">
        <f t="shared" si="1"/>
        <v>44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B8BA-8936-4CA6-BFB1-D7DBA5789CFB}">
  <dimension ref="A1:U28"/>
  <sheetViews>
    <sheetView zoomScaleNormal="100" workbookViewId="0">
      <selection activeCell="R22" sqref="R22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43</v>
      </c>
      <c r="Q2" t="s">
        <v>97</v>
      </c>
      <c r="R2">
        <v>3</v>
      </c>
      <c r="S2">
        <v>0</v>
      </c>
      <c r="U2">
        <f>R2+S2+T2</f>
        <v>3</v>
      </c>
    </row>
    <row r="3" spans="1:21" x14ac:dyDescent="0.3">
      <c r="A3" t="s">
        <v>99</v>
      </c>
      <c r="B3">
        <f t="shared" si="0"/>
        <v>17</v>
      </c>
      <c r="Q3" t="s">
        <v>98</v>
      </c>
      <c r="R3">
        <v>13</v>
      </c>
      <c r="S3">
        <v>1</v>
      </c>
      <c r="U3">
        <f t="shared" ref="U3:U28" si="1">R3+S3+T3</f>
        <v>14</v>
      </c>
    </row>
    <row r="4" spans="1:21" x14ac:dyDescent="0.3">
      <c r="A4" t="s">
        <v>105</v>
      </c>
      <c r="B4">
        <f t="shared" si="0"/>
        <v>15</v>
      </c>
      <c r="Q4" t="s">
        <v>99</v>
      </c>
      <c r="R4">
        <v>16</v>
      </c>
      <c r="S4">
        <v>1</v>
      </c>
      <c r="U4">
        <f t="shared" si="1"/>
        <v>17</v>
      </c>
    </row>
    <row r="5" spans="1:21" x14ac:dyDescent="0.3">
      <c r="A5" t="s">
        <v>98</v>
      </c>
      <c r="B5">
        <f t="shared" si="0"/>
        <v>14</v>
      </c>
      <c r="Q5" t="s">
        <v>100</v>
      </c>
      <c r="R5">
        <v>7</v>
      </c>
      <c r="S5">
        <v>1</v>
      </c>
      <c r="U5">
        <f t="shared" si="1"/>
        <v>8</v>
      </c>
    </row>
    <row r="6" spans="1:21" x14ac:dyDescent="0.3">
      <c r="A6" t="s">
        <v>103</v>
      </c>
      <c r="B6">
        <f t="shared" si="0"/>
        <v>12</v>
      </c>
      <c r="Q6" t="s">
        <v>101</v>
      </c>
      <c r="R6">
        <v>0</v>
      </c>
      <c r="S6">
        <v>0</v>
      </c>
      <c r="U6">
        <f t="shared" si="1"/>
        <v>0</v>
      </c>
    </row>
    <row r="7" spans="1:21" x14ac:dyDescent="0.3">
      <c r="A7" t="s">
        <v>100</v>
      </c>
      <c r="B7">
        <f t="shared" si="0"/>
        <v>8</v>
      </c>
      <c r="Q7" t="s">
        <v>102</v>
      </c>
      <c r="R7">
        <v>3</v>
      </c>
      <c r="S7">
        <v>0</v>
      </c>
      <c r="U7">
        <f t="shared" si="1"/>
        <v>3</v>
      </c>
    </row>
    <row r="8" spans="1:21" x14ac:dyDescent="0.3">
      <c r="A8" t="s">
        <v>104</v>
      </c>
      <c r="B8">
        <f t="shared" si="0"/>
        <v>6</v>
      </c>
      <c r="Q8" t="s">
        <v>103</v>
      </c>
      <c r="R8">
        <v>12</v>
      </c>
      <c r="S8">
        <v>0</v>
      </c>
      <c r="U8">
        <f t="shared" si="1"/>
        <v>12</v>
      </c>
    </row>
    <row r="9" spans="1:21" x14ac:dyDescent="0.3">
      <c r="A9" t="s">
        <v>111</v>
      </c>
      <c r="B9">
        <f t="shared" si="0"/>
        <v>4</v>
      </c>
      <c r="Q9" t="s">
        <v>104</v>
      </c>
      <c r="R9">
        <v>6</v>
      </c>
      <c r="S9">
        <v>0</v>
      </c>
      <c r="U9">
        <f t="shared" si="1"/>
        <v>6</v>
      </c>
    </row>
    <row r="10" spans="1:21" x14ac:dyDescent="0.3">
      <c r="A10" t="s">
        <v>109</v>
      </c>
      <c r="B10">
        <f t="shared" si="0"/>
        <v>3</v>
      </c>
      <c r="Q10" t="s">
        <v>105</v>
      </c>
      <c r="R10">
        <v>15</v>
      </c>
      <c r="S10">
        <v>0</v>
      </c>
      <c r="U10">
        <f t="shared" si="1"/>
        <v>15</v>
      </c>
    </row>
    <row r="11" spans="1:21" x14ac:dyDescent="0.3">
      <c r="A11" t="s">
        <v>97</v>
      </c>
      <c r="B11">
        <f t="shared" si="0"/>
        <v>3</v>
      </c>
      <c r="Q11" t="s">
        <v>106</v>
      </c>
      <c r="R11">
        <v>1</v>
      </c>
      <c r="S11">
        <v>0</v>
      </c>
      <c r="U11">
        <f t="shared" si="1"/>
        <v>1</v>
      </c>
    </row>
    <row r="12" spans="1:21" x14ac:dyDescent="0.3">
      <c r="A12" t="s">
        <v>102</v>
      </c>
      <c r="B12">
        <f t="shared" si="0"/>
        <v>3</v>
      </c>
      <c r="Q12" t="s">
        <v>107</v>
      </c>
      <c r="R12">
        <v>1</v>
      </c>
      <c r="S12">
        <v>0</v>
      </c>
      <c r="U12">
        <f t="shared" si="1"/>
        <v>1</v>
      </c>
    </row>
    <row r="13" spans="1:21" x14ac:dyDescent="0.3">
      <c r="A13" t="s">
        <v>117</v>
      </c>
      <c r="B13">
        <f t="shared" si="0"/>
        <v>2</v>
      </c>
      <c r="Q13" t="s">
        <v>108</v>
      </c>
      <c r="R13">
        <v>1</v>
      </c>
      <c r="S13">
        <v>0</v>
      </c>
      <c r="U13">
        <f t="shared" si="1"/>
        <v>1</v>
      </c>
    </row>
    <row r="14" spans="1:21" x14ac:dyDescent="0.3">
      <c r="A14" t="s">
        <v>123</v>
      </c>
      <c r="B14">
        <f t="shared" si="0"/>
        <v>1</v>
      </c>
      <c r="Q14" t="s">
        <v>109</v>
      </c>
      <c r="R14">
        <v>3</v>
      </c>
      <c r="S14">
        <v>0</v>
      </c>
      <c r="U14">
        <f t="shared" si="1"/>
        <v>3</v>
      </c>
    </row>
    <row r="15" spans="1:21" x14ac:dyDescent="0.3">
      <c r="A15" t="s">
        <v>107</v>
      </c>
      <c r="B15">
        <f t="shared" si="0"/>
        <v>1</v>
      </c>
      <c r="Q15" t="s">
        <v>110</v>
      </c>
      <c r="R15">
        <v>1</v>
      </c>
      <c r="S15">
        <v>0</v>
      </c>
      <c r="U15">
        <f t="shared" si="1"/>
        <v>1</v>
      </c>
    </row>
    <row r="16" spans="1:21" x14ac:dyDescent="0.3">
      <c r="A16" t="s">
        <v>110</v>
      </c>
      <c r="B16">
        <f t="shared" si="0"/>
        <v>1</v>
      </c>
      <c r="Q16" t="s">
        <v>111</v>
      </c>
      <c r="R16">
        <v>4</v>
      </c>
      <c r="S16">
        <v>0</v>
      </c>
      <c r="U16">
        <f t="shared" si="1"/>
        <v>4</v>
      </c>
    </row>
    <row r="17" spans="1:21" x14ac:dyDescent="0.3">
      <c r="A17" t="s">
        <v>108</v>
      </c>
      <c r="B17">
        <f t="shared" si="0"/>
        <v>1</v>
      </c>
      <c r="Q17" t="s">
        <v>112</v>
      </c>
      <c r="R17">
        <v>0</v>
      </c>
      <c r="S17">
        <v>0</v>
      </c>
      <c r="U17">
        <f t="shared" si="1"/>
        <v>0</v>
      </c>
    </row>
    <row r="18" spans="1:21" x14ac:dyDescent="0.3">
      <c r="A18" t="s">
        <v>106</v>
      </c>
      <c r="B18">
        <f t="shared" si="0"/>
        <v>1</v>
      </c>
      <c r="Q18" t="s">
        <v>113</v>
      </c>
      <c r="R18">
        <v>1</v>
      </c>
      <c r="S18">
        <v>0</v>
      </c>
      <c r="U18">
        <f t="shared" si="1"/>
        <v>1</v>
      </c>
    </row>
    <row r="19" spans="1:21" x14ac:dyDescent="0.3">
      <c r="A19" t="s">
        <v>113</v>
      </c>
      <c r="B19">
        <f t="shared" si="0"/>
        <v>1</v>
      </c>
      <c r="Q19" t="s">
        <v>114</v>
      </c>
      <c r="R19">
        <v>0</v>
      </c>
      <c r="S19">
        <v>0</v>
      </c>
      <c r="U19">
        <f t="shared" si="1"/>
        <v>0</v>
      </c>
    </row>
    <row r="20" spans="1:21" x14ac:dyDescent="0.3">
      <c r="A20" t="s">
        <v>116</v>
      </c>
      <c r="B20">
        <f t="shared" si="0"/>
        <v>1</v>
      </c>
      <c r="Q20" t="s">
        <v>115</v>
      </c>
      <c r="R20">
        <v>0</v>
      </c>
      <c r="S20">
        <v>0</v>
      </c>
      <c r="U20">
        <f t="shared" si="1"/>
        <v>0</v>
      </c>
    </row>
    <row r="21" spans="1:21" x14ac:dyDescent="0.3">
      <c r="A21" t="s">
        <v>112</v>
      </c>
      <c r="B21">
        <f t="shared" si="0"/>
        <v>0</v>
      </c>
      <c r="Q21" t="s">
        <v>116</v>
      </c>
      <c r="R21">
        <v>1</v>
      </c>
      <c r="S21">
        <v>0</v>
      </c>
      <c r="U21">
        <f t="shared" si="1"/>
        <v>1</v>
      </c>
    </row>
    <row r="22" spans="1:21" x14ac:dyDescent="0.3">
      <c r="A22" t="s">
        <v>118</v>
      </c>
      <c r="B22">
        <f t="shared" si="0"/>
        <v>0</v>
      </c>
      <c r="Q22" t="s">
        <v>117</v>
      </c>
      <c r="R22">
        <v>2</v>
      </c>
      <c r="S22">
        <v>0</v>
      </c>
      <c r="U22">
        <f t="shared" si="1"/>
        <v>2</v>
      </c>
    </row>
    <row r="23" spans="1:21" x14ac:dyDescent="0.3">
      <c r="A23" t="s">
        <v>115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119</v>
      </c>
      <c r="B24">
        <f t="shared" si="0"/>
        <v>0</v>
      </c>
      <c r="Q24" t="s">
        <v>119</v>
      </c>
      <c r="R24">
        <v>0</v>
      </c>
      <c r="S24">
        <v>0</v>
      </c>
      <c r="U24">
        <f t="shared" si="1"/>
        <v>0</v>
      </c>
    </row>
    <row r="25" spans="1:21" x14ac:dyDescent="0.3">
      <c r="A25" t="s">
        <v>101</v>
      </c>
      <c r="B25">
        <f t="shared" si="0"/>
        <v>0</v>
      </c>
      <c r="Q25" t="s">
        <v>122</v>
      </c>
      <c r="R25">
        <v>0</v>
      </c>
      <c r="S25">
        <v>0</v>
      </c>
      <c r="U25">
        <f t="shared" si="1"/>
        <v>0</v>
      </c>
    </row>
    <row r="26" spans="1:21" x14ac:dyDescent="0.3">
      <c r="A26" t="s">
        <v>122</v>
      </c>
      <c r="B26">
        <f t="shared" si="0"/>
        <v>0</v>
      </c>
      <c r="Q26" t="s">
        <v>123</v>
      </c>
      <c r="R26">
        <v>0</v>
      </c>
      <c r="S26">
        <v>1</v>
      </c>
      <c r="U26">
        <f t="shared" si="1"/>
        <v>1</v>
      </c>
    </row>
    <row r="27" spans="1:21" x14ac:dyDescent="0.3">
      <c r="A27" t="s">
        <v>125</v>
      </c>
      <c r="B27">
        <f t="shared" si="0"/>
        <v>0</v>
      </c>
      <c r="Q27" t="s">
        <v>125</v>
      </c>
      <c r="R27">
        <v>0</v>
      </c>
      <c r="S27">
        <v>0</v>
      </c>
      <c r="U27">
        <f t="shared" si="1"/>
        <v>0</v>
      </c>
    </row>
    <row r="28" spans="1:21" x14ac:dyDescent="0.3">
      <c r="A28" t="s">
        <v>114</v>
      </c>
      <c r="B28">
        <f t="shared" si="0"/>
        <v>0</v>
      </c>
      <c r="Q28" t="s">
        <v>96</v>
      </c>
      <c r="R28">
        <v>0</v>
      </c>
      <c r="S28">
        <v>0</v>
      </c>
      <c r="T28">
        <v>43</v>
      </c>
      <c r="U28">
        <f t="shared" si="1"/>
        <v>43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B706-2BDC-4FC8-A542-9C267063C336}">
  <dimension ref="A1:U28"/>
  <sheetViews>
    <sheetView topLeftCell="A34" zoomScaleNormal="100" workbookViewId="0">
      <selection activeCell="K52" sqref="K52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41</v>
      </c>
      <c r="Q2" t="s">
        <v>97</v>
      </c>
      <c r="R2">
        <v>3</v>
      </c>
      <c r="S2">
        <v>0</v>
      </c>
      <c r="U2">
        <f>R2+S2+T2</f>
        <v>3</v>
      </c>
    </row>
    <row r="3" spans="1:21" x14ac:dyDescent="0.3">
      <c r="A3" t="s">
        <v>99</v>
      </c>
      <c r="B3">
        <f t="shared" si="0"/>
        <v>12</v>
      </c>
      <c r="Q3" t="s">
        <v>98</v>
      </c>
      <c r="R3">
        <v>10</v>
      </c>
      <c r="S3">
        <v>0</v>
      </c>
      <c r="U3">
        <f t="shared" ref="U3:U28" si="1">R3+S3+T3</f>
        <v>10</v>
      </c>
    </row>
    <row r="4" spans="1:21" x14ac:dyDescent="0.3">
      <c r="A4" t="s">
        <v>98</v>
      </c>
      <c r="B4">
        <f t="shared" si="0"/>
        <v>10</v>
      </c>
      <c r="Q4" t="s">
        <v>99</v>
      </c>
      <c r="R4">
        <v>10</v>
      </c>
      <c r="S4">
        <v>2</v>
      </c>
      <c r="U4">
        <f t="shared" si="1"/>
        <v>12</v>
      </c>
    </row>
    <row r="5" spans="1:21" x14ac:dyDescent="0.3">
      <c r="A5" t="s">
        <v>105</v>
      </c>
      <c r="B5">
        <f t="shared" si="0"/>
        <v>7</v>
      </c>
      <c r="Q5" t="s">
        <v>100</v>
      </c>
      <c r="R5">
        <v>4</v>
      </c>
      <c r="S5">
        <v>0</v>
      </c>
      <c r="U5">
        <f t="shared" si="1"/>
        <v>4</v>
      </c>
    </row>
    <row r="6" spans="1:21" x14ac:dyDescent="0.3">
      <c r="A6" t="s">
        <v>103</v>
      </c>
      <c r="B6">
        <f t="shared" si="0"/>
        <v>5</v>
      </c>
      <c r="Q6" t="s">
        <v>101</v>
      </c>
      <c r="R6">
        <v>0</v>
      </c>
      <c r="S6">
        <v>0</v>
      </c>
      <c r="U6">
        <f t="shared" si="1"/>
        <v>0</v>
      </c>
    </row>
    <row r="7" spans="1:21" x14ac:dyDescent="0.3">
      <c r="A7" t="s">
        <v>104</v>
      </c>
      <c r="B7">
        <f t="shared" si="0"/>
        <v>5</v>
      </c>
      <c r="Q7" t="s">
        <v>102</v>
      </c>
      <c r="R7">
        <v>0</v>
      </c>
      <c r="S7">
        <v>0</v>
      </c>
      <c r="U7">
        <f t="shared" si="1"/>
        <v>0</v>
      </c>
    </row>
    <row r="8" spans="1:21" x14ac:dyDescent="0.3">
      <c r="A8" t="s">
        <v>100</v>
      </c>
      <c r="B8">
        <f t="shared" si="0"/>
        <v>4</v>
      </c>
      <c r="Q8" t="s">
        <v>103</v>
      </c>
      <c r="R8">
        <v>5</v>
      </c>
      <c r="S8">
        <v>0</v>
      </c>
      <c r="U8">
        <f t="shared" si="1"/>
        <v>5</v>
      </c>
    </row>
    <row r="9" spans="1:21" x14ac:dyDescent="0.3">
      <c r="A9" t="s">
        <v>109</v>
      </c>
      <c r="B9">
        <f t="shared" si="0"/>
        <v>4</v>
      </c>
      <c r="Q9" t="s">
        <v>104</v>
      </c>
      <c r="R9">
        <v>5</v>
      </c>
      <c r="S9">
        <v>0</v>
      </c>
      <c r="U9">
        <f t="shared" si="1"/>
        <v>5</v>
      </c>
    </row>
    <row r="10" spans="1:21" x14ac:dyDescent="0.3">
      <c r="A10" t="s">
        <v>111</v>
      </c>
      <c r="B10">
        <f t="shared" si="0"/>
        <v>3</v>
      </c>
      <c r="Q10" t="s">
        <v>105</v>
      </c>
      <c r="R10">
        <v>6</v>
      </c>
      <c r="S10">
        <v>1</v>
      </c>
      <c r="U10">
        <f t="shared" si="1"/>
        <v>7</v>
      </c>
    </row>
    <row r="11" spans="1:21" x14ac:dyDescent="0.3">
      <c r="A11" t="s">
        <v>97</v>
      </c>
      <c r="B11">
        <f t="shared" si="0"/>
        <v>3</v>
      </c>
      <c r="Q11" t="s">
        <v>106</v>
      </c>
      <c r="R11">
        <v>0</v>
      </c>
      <c r="S11">
        <v>0</v>
      </c>
      <c r="U11">
        <f t="shared" si="1"/>
        <v>0</v>
      </c>
    </row>
    <row r="12" spans="1:21" x14ac:dyDescent="0.3">
      <c r="A12" t="s">
        <v>123</v>
      </c>
      <c r="B12">
        <f t="shared" si="0"/>
        <v>2</v>
      </c>
      <c r="Q12" t="s">
        <v>107</v>
      </c>
      <c r="R12">
        <v>1</v>
      </c>
      <c r="S12">
        <v>0</v>
      </c>
      <c r="U12">
        <f t="shared" si="1"/>
        <v>1</v>
      </c>
    </row>
    <row r="13" spans="1:21" x14ac:dyDescent="0.3">
      <c r="A13" t="s">
        <v>107</v>
      </c>
      <c r="B13">
        <f t="shared" si="0"/>
        <v>1</v>
      </c>
      <c r="Q13" t="s">
        <v>108</v>
      </c>
      <c r="R13">
        <v>0</v>
      </c>
      <c r="S13">
        <v>0</v>
      </c>
      <c r="U13">
        <f t="shared" si="1"/>
        <v>0</v>
      </c>
    </row>
    <row r="14" spans="1:21" x14ac:dyDescent="0.3">
      <c r="A14" t="s">
        <v>110</v>
      </c>
      <c r="B14">
        <f t="shared" si="0"/>
        <v>1</v>
      </c>
      <c r="Q14" t="s">
        <v>109</v>
      </c>
      <c r="R14">
        <v>4</v>
      </c>
      <c r="S14">
        <v>0</v>
      </c>
      <c r="U14">
        <f t="shared" si="1"/>
        <v>4</v>
      </c>
    </row>
    <row r="15" spans="1:21" x14ac:dyDescent="0.3">
      <c r="A15" t="s">
        <v>102</v>
      </c>
      <c r="B15">
        <f t="shared" si="0"/>
        <v>0</v>
      </c>
      <c r="Q15" t="s">
        <v>110</v>
      </c>
      <c r="R15">
        <v>1</v>
      </c>
      <c r="S15">
        <v>0</v>
      </c>
      <c r="U15">
        <f t="shared" si="1"/>
        <v>1</v>
      </c>
    </row>
    <row r="16" spans="1:21" x14ac:dyDescent="0.3">
      <c r="A16" t="s">
        <v>117</v>
      </c>
      <c r="B16">
        <f t="shared" si="0"/>
        <v>0</v>
      </c>
      <c r="Q16" t="s">
        <v>111</v>
      </c>
      <c r="R16">
        <v>3</v>
      </c>
      <c r="S16">
        <v>0</v>
      </c>
      <c r="U16">
        <f t="shared" si="1"/>
        <v>3</v>
      </c>
    </row>
    <row r="17" spans="1:21" x14ac:dyDescent="0.3">
      <c r="A17" t="s">
        <v>108</v>
      </c>
      <c r="B17">
        <f t="shared" si="0"/>
        <v>0</v>
      </c>
      <c r="Q17" t="s">
        <v>112</v>
      </c>
      <c r="R17">
        <v>0</v>
      </c>
      <c r="S17">
        <v>0</v>
      </c>
      <c r="U17">
        <f t="shared" si="1"/>
        <v>0</v>
      </c>
    </row>
    <row r="18" spans="1:21" x14ac:dyDescent="0.3">
      <c r="A18" t="s">
        <v>106</v>
      </c>
      <c r="B18">
        <f t="shared" si="0"/>
        <v>0</v>
      </c>
      <c r="Q18" t="s">
        <v>113</v>
      </c>
      <c r="R18">
        <v>0</v>
      </c>
      <c r="S18">
        <v>0</v>
      </c>
      <c r="U18">
        <f t="shared" si="1"/>
        <v>0</v>
      </c>
    </row>
    <row r="19" spans="1:21" x14ac:dyDescent="0.3">
      <c r="A19" t="s">
        <v>113</v>
      </c>
      <c r="B19">
        <f t="shared" si="0"/>
        <v>0</v>
      </c>
      <c r="Q19" t="s">
        <v>114</v>
      </c>
      <c r="R19">
        <v>0</v>
      </c>
      <c r="S19">
        <v>0</v>
      </c>
      <c r="U19">
        <f t="shared" si="1"/>
        <v>0</v>
      </c>
    </row>
    <row r="20" spans="1:21" x14ac:dyDescent="0.3">
      <c r="A20" t="s">
        <v>116</v>
      </c>
      <c r="B20">
        <f t="shared" si="0"/>
        <v>0</v>
      </c>
      <c r="Q20" t="s">
        <v>115</v>
      </c>
      <c r="R20">
        <v>0</v>
      </c>
      <c r="S20">
        <v>0</v>
      </c>
      <c r="U20">
        <f t="shared" si="1"/>
        <v>0</v>
      </c>
    </row>
    <row r="21" spans="1:21" x14ac:dyDescent="0.3">
      <c r="A21" t="s">
        <v>112</v>
      </c>
      <c r="B21">
        <f t="shared" si="0"/>
        <v>0</v>
      </c>
      <c r="Q21" t="s">
        <v>116</v>
      </c>
      <c r="R21">
        <v>0</v>
      </c>
      <c r="S21">
        <v>0</v>
      </c>
      <c r="U21">
        <f t="shared" si="1"/>
        <v>0</v>
      </c>
    </row>
    <row r="22" spans="1:21" x14ac:dyDescent="0.3">
      <c r="A22" t="s">
        <v>118</v>
      </c>
      <c r="B22">
        <f t="shared" si="0"/>
        <v>0</v>
      </c>
      <c r="Q22" t="s">
        <v>117</v>
      </c>
      <c r="R22">
        <v>0</v>
      </c>
      <c r="S22">
        <v>0</v>
      </c>
      <c r="U22">
        <f t="shared" si="1"/>
        <v>0</v>
      </c>
    </row>
    <row r="23" spans="1:21" x14ac:dyDescent="0.3">
      <c r="A23" t="s">
        <v>115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119</v>
      </c>
      <c r="B24">
        <f t="shared" si="0"/>
        <v>0</v>
      </c>
      <c r="Q24" t="s">
        <v>119</v>
      </c>
      <c r="R24">
        <v>0</v>
      </c>
      <c r="S24">
        <v>0</v>
      </c>
      <c r="U24">
        <f t="shared" si="1"/>
        <v>0</v>
      </c>
    </row>
    <row r="25" spans="1:21" x14ac:dyDescent="0.3">
      <c r="A25" t="s">
        <v>101</v>
      </c>
      <c r="B25">
        <f t="shared" si="0"/>
        <v>0</v>
      </c>
      <c r="Q25" t="s">
        <v>122</v>
      </c>
      <c r="R25">
        <v>0</v>
      </c>
      <c r="S25">
        <v>0</v>
      </c>
      <c r="U25">
        <f t="shared" si="1"/>
        <v>0</v>
      </c>
    </row>
    <row r="26" spans="1:21" x14ac:dyDescent="0.3">
      <c r="A26" t="s">
        <v>122</v>
      </c>
      <c r="B26">
        <f t="shared" si="0"/>
        <v>0</v>
      </c>
      <c r="Q26" t="s">
        <v>123</v>
      </c>
      <c r="R26">
        <v>0</v>
      </c>
      <c r="S26">
        <v>2</v>
      </c>
      <c r="U26">
        <f t="shared" si="1"/>
        <v>2</v>
      </c>
    </row>
    <row r="27" spans="1:21" x14ac:dyDescent="0.3">
      <c r="A27" t="s">
        <v>125</v>
      </c>
      <c r="B27">
        <f t="shared" si="0"/>
        <v>0</v>
      </c>
      <c r="Q27" t="s">
        <v>125</v>
      </c>
      <c r="R27">
        <v>0</v>
      </c>
      <c r="S27">
        <v>0</v>
      </c>
      <c r="U27">
        <f t="shared" si="1"/>
        <v>0</v>
      </c>
    </row>
    <row r="28" spans="1:21" x14ac:dyDescent="0.3">
      <c r="A28" t="s">
        <v>114</v>
      </c>
      <c r="B28">
        <f t="shared" si="0"/>
        <v>0</v>
      </c>
      <c r="Q28" t="s">
        <v>96</v>
      </c>
      <c r="R28">
        <v>0</v>
      </c>
      <c r="S28">
        <v>0</v>
      </c>
      <c r="T28">
        <v>41</v>
      </c>
      <c r="U28">
        <f t="shared" si="1"/>
        <v>41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7A82-BFEB-40FC-8853-4CA3FC7CFDD5}">
  <dimension ref="A1:U28"/>
  <sheetViews>
    <sheetView zoomScaleNormal="100" workbookViewId="0">
      <selection activeCell="K53" sqref="K53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44</v>
      </c>
      <c r="Q2" t="s">
        <v>97</v>
      </c>
      <c r="R2">
        <v>4</v>
      </c>
      <c r="S2">
        <v>2</v>
      </c>
      <c r="U2">
        <f>R2+S2+T2</f>
        <v>6</v>
      </c>
    </row>
    <row r="3" spans="1:21" x14ac:dyDescent="0.3">
      <c r="A3" t="s">
        <v>98</v>
      </c>
      <c r="B3">
        <f t="shared" si="0"/>
        <v>15</v>
      </c>
      <c r="Q3" t="s">
        <v>98</v>
      </c>
      <c r="R3">
        <v>14</v>
      </c>
      <c r="S3">
        <v>1</v>
      </c>
      <c r="U3">
        <f t="shared" ref="U3:U28" si="1">R3+S3+T3</f>
        <v>15</v>
      </c>
    </row>
    <row r="4" spans="1:21" x14ac:dyDescent="0.3">
      <c r="A4" t="s">
        <v>103</v>
      </c>
      <c r="B4">
        <f t="shared" si="0"/>
        <v>13</v>
      </c>
      <c r="Q4" t="s">
        <v>99</v>
      </c>
      <c r="R4">
        <v>6</v>
      </c>
      <c r="S4">
        <v>0</v>
      </c>
      <c r="U4">
        <f t="shared" si="1"/>
        <v>6</v>
      </c>
    </row>
    <row r="5" spans="1:21" x14ac:dyDescent="0.3">
      <c r="A5" t="s">
        <v>100</v>
      </c>
      <c r="B5">
        <f t="shared" si="0"/>
        <v>7</v>
      </c>
      <c r="Q5" t="s">
        <v>100</v>
      </c>
      <c r="R5">
        <v>5</v>
      </c>
      <c r="S5">
        <v>2</v>
      </c>
      <c r="U5">
        <f t="shared" si="1"/>
        <v>7</v>
      </c>
    </row>
    <row r="6" spans="1:21" x14ac:dyDescent="0.3">
      <c r="A6" t="s">
        <v>99</v>
      </c>
      <c r="B6">
        <f t="shared" si="0"/>
        <v>6</v>
      </c>
      <c r="Q6" t="s">
        <v>101</v>
      </c>
      <c r="R6">
        <v>0</v>
      </c>
      <c r="S6">
        <v>0</v>
      </c>
      <c r="U6">
        <f t="shared" si="1"/>
        <v>0</v>
      </c>
    </row>
    <row r="7" spans="1:21" x14ac:dyDescent="0.3">
      <c r="A7" t="s">
        <v>104</v>
      </c>
      <c r="B7">
        <f t="shared" si="0"/>
        <v>6</v>
      </c>
      <c r="Q7" t="s">
        <v>102</v>
      </c>
      <c r="R7">
        <v>2</v>
      </c>
      <c r="S7">
        <v>0</v>
      </c>
      <c r="U7">
        <f t="shared" si="1"/>
        <v>2</v>
      </c>
    </row>
    <row r="8" spans="1:21" x14ac:dyDescent="0.3">
      <c r="A8" t="s">
        <v>97</v>
      </c>
      <c r="B8">
        <f t="shared" si="0"/>
        <v>6</v>
      </c>
      <c r="Q8" t="s">
        <v>103</v>
      </c>
      <c r="R8">
        <v>12</v>
      </c>
      <c r="S8">
        <v>1</v>
      </c>
      <c r="U8">
        <f t="shared" si="1"/>
        <v>13</v>
      </c>
    </row>
    <row r="9" spans="1:21" x14ac:dyDescent="0.3">
      <c r="A9" t="s">
        <v>105</v>
      </c>
      <c r="B9">
        <f t="shared" si="0"/>
        <v>3</v>
      </c>
      <c r="Q9" t="s">
        <v>104</v>
      </c>
      <c r="R9">
        <v>6</v>
      </c>
      <c r="S9">
        <v>0</v>
      </c>
      <c r="U9">
        <f t="shared" si="1"/>
        <v>6</v>
      </c>
    </row>
    <row r="10" spans="1:21" x14ac:dyDescent="0.3">
      <c r="A10" t="s">
        <v>111</v>
      </c>
      <c r="B10">
        <f t="shared" si="0"/>
        <v>3</v>
      </c>
      <c r="Q10" t="s">
        <v>105</v>
      </c>
      <c r="R10">
        <v>3</v>
      </c>
      <c r="S10">
        <v>0</v>
      </c>
      <c r="U10">
        <f t="shared" si="1"/>
        <v>3</v>
      </c>
    </row>
    <row r="11" spans="1:21" x14ac:dyDescent="0.3">
      <c r="A11" t="s">
        <v>107</v>
      </c>
      <c r="B11">
        <f t="shared" si="0"/>
        <v>3</v>
      </c>
      <c r="Q11" t="s">
        <v>106</v>
      </c>
      <c r="R11">
        <v>0</v>
      </c>
      <c r="S11">
        <v>0</v>
      </c>
      <c r="U11">
        <f t="shared" si="1"/>
        <v>0</v>
      </c>
    </row>
    <row r="12" spans="1:21" x14ac:dyDescent="0.3">
      <c r="A12" t="s">
        <v>110</v>
      </c>
      <c r="B12">
        <f t="shared" si="0"/>
        <v>3</v>
      </c>
      <c r="Q12" t="s">
        <v>107</v>
      </c>
      <c r="R12">
        <v>3</v>
      </c>
      <c r="S12">
        <v>0</v>
      </c>
      <c r="U12">
        <f t="shared" si="1"/>
        <v>3</v>
      </c>
    </row>
    <row r="13" spans="1:21" x14ac:dyDescent="0.3">
      <c r="A13" t="s">
        <v>109</v>
      </c>
      <c r="B13">
        <f t="shared" si="0"/>
        <v>2</v>
      </c>
      <c r="Q13" t="s">
        <v>108</v>
      </c>
      <c r="R13">
        <v>2</v>
      </c>
      <c r="S13">
        <v>0</v>
      </c>
      <c r="U13">
        <f t="shared" si="1"/>
        <v>2</v>
      </c>
    </row>
    <row r="14" spans="1:21" x14ac:dyDescent="0.3">
      <c r="A14" t="s">
        <v>123</v>
      </c>
      <c r="B14">
        <f t="shared" si="0"/>
        <v>2</v>
      </c>
      <c r="Q14" t="s">
        <v>109</v>
      </c>
      <c r="R14">
        <v>2</v>
      </c>
      <c r="S14">
        <v>0</v>
      </c>
      <c r="U14">
        <f t="shared" si="1"/>
        <v>2</v>
      </c>
    </row>
    <row r="15" spans="1:21" x14ac:dyDescent="0.3">
      <c r="A15" t="s">
        <v>102</v>
      </c>
      <c r="B15">
        <f t="shared" si="0"/>
        <v>2</v>
      </c>
      <c r="Q15" t="s">
        <v>110</v>
      </c>
      <c r="R15">
        <v>3</v>
      </c>
      <c r="S15">
        <v>0</v>
      </c>
      <c r="U15">
        <f t="shared" si="1"/>
        <v>3</v>
      </c>
    </row>
    <row r="16" spans="1:21" x14ac:dyDescent="0.3">
      <c r="A16" t="s">
        <v>108</v>
      </c>
      <c r="B16">
        <f t="shared" si="0"/>
        <v>2</v>
      </c>
      <c r="Q16" t="s">
        <v>111</v>
      </c>
      <c r="R16">
        <v>3</v>
      </c>
      <c r="S16">
        <v>0</v>
      </c>
      <c r="U16">
        <f t="shared" si="1"/>
        <v>3</v>
      </c>
    </row>
    <row r="17" spans="1:21" x14ac:dyDescent="0.3">
      <c r="A17" t="s">
        <v>117</v>
      </c>
      <c r="B17">
        <f t="shared" si="0"/>
        <v>1</v>
      </c>
      <c r="Q17" t="s">
        <v>112</v>
      </c>
      <c r="R17">
        <v>1</v>
      </c>
      <c r="S17">
        <v>0</v>
      </c>
      <c r="U17">
        <f t="shared" si="1"/>
        <v>1</v>
      </c>
    </row>
    <row r="18" spans="1:21" x14ac:dyDescent="0.3">
      <c r="A18" t="s">
        <v>112</v>
      </c>
      <c r="B18">
        <f t="shared" si="0"/>
        <v>1</v>
      </c>
      <c r="Q18" t="s">
        <v>113</v>
      </c>
      <c r="R18">
        <v>0</v>
      </c>
      <c r="S18">
        <v>0</v>
      </c>
      <c r="U18">
        <f t="shared" si="1"/>
        <v>0</v>
      </c>
    </row>
    <row r="19" spans="1:21" x14ac:dyDescent="0.3">
      <c r="A19" t="s">
        <v>106</v>
      </c>
      <c r="B19">
        <f t="shared" si="0"/>
        <v>0</v>
      </c>
      <c r="Q19" t="s">
        <v>114</v>
      </c>
      <c r="R19">
        <v>0</v>
      </c>
      <c r="S19">
        <v>0</v>
      </c>
      <c r="U19">
        <f t="shared" si="1"/>
        <v>0</v>
      </c>
    </row>
    <row r="20" spans="1:21" x14ac:dyDescent="0.3">
      <c r="A20" t="s">
        <v>113</v>
      </c>
      <c r="B20">
        <f t="shared" si="0"/>
        <v>0</v>
      </c>
      <c r="Q20" t="s">
        <v>115</v>
      </c>
      <c r="R20">
        <v>0</v>
      </c>
      <c r="S20">
        <v>0</v>
      </c>
      <c r="U20">
        <f t="shared" si="1"/>
        <v>0</v>
      </c>
    </row>
    <row r="21" spans="1:21" x14ac:dyDescent="0.3">
      <c r="A21" t="s">
        <v>116</v>
      </c>
      <c r="B21">
        <f t="shared" si="0"/>
        <v>0</v>
      </c>
      <c r="Q21" t="s">
        <v>116</v>
      </c>
      <c r="R21">
        <v>0</v>
      </c>
      <c r="S21">
        <v>0</v>
      </c>
      <c r="U21">
        <f t="shared" si="1"/>
        <v>0</v>
      </c>
    </row>
    <row r="22" spans="1:21" x14ac:dyDescent="0.3">
      <c r="A22" t="s">
        <v>118</v>
      </c>
      <c r="B22">
        <f t="shared" si="0"/>
        <v>0</v>
      </c>
      <c r="Q22" t="s">
        <v>117</v>
      </c>
      <c r="R22">
        <v>1</v>
      </c>
      <c r="S22">
        <v>0</v>
      </c>
      <c r="U22">
        <f t="shared" si="1"/>
        <v>1</v>
      </c>
    </row>
    <row r="23" spans="1:21" x14ac:dyDescent="0.3">
      <c r="A23" t="s">
        <v>115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119</v>
      </c>
      <c r="B24">
        <f t="shared" si="0"/>
        <v>0</v>
      </c>
      <c r="Q24" t="s">
        <v>119</v>
      </c>
      <c r="R24">
        <v>0</v>
      </c>
      <c r="S24">
        <v>0</v>
      </c>
      <c r="U24">
        <f t="shared" si="1"/>
        <v>0</v>
      </c>
    </row>
    <row r="25" spans="1:21" x14ac:dyDescent="0.3">
      <c r="A25" t="s">
        <v>101</v>
      </c>
      <c r="B25">
        <f t="shared" si="0"/>
        <v>0</v>
      </c>
      <c r="Q25" t="s">
        <v>122</v>
      </c>
      <c r="R25">
        <v>0</v>
      </c>
      <c r="S25">
        <v>0</v>
      </c>
      <c r="U25">
        <f t="shared" si="1"/>
        <v>0</v>
      </c>
    </row>
    <row r="26" spans="1:21" x14ac:dyDescent="0.3">
      <c r="A26" t="s">
        <v>122</v>
      </c>
      <c r="B26">
        <f t="shared" si="0"/>
        <v>0</v>
      </c>
      <c r="Q26" t="s">
        <v>123</v>
      </c>
      <c r="R26">
        <v>0</v>
      </c>
      <c r="S26">
        <v>2</v>
      </c>
      <c r="U26">
        <f t="shared" si="1"/>
        <v>2</v>
      </c>
    </row>
    <row r="27" spans="1:21" x14ac:dyDescent="0.3">
      <c r="A27" t="s">
        <v>125</v>
      </c>
      <c r="B27">
        <f t="shared" si="0"/>
        <v>0</v>
      </c>
      <c r="Q27" t="s">
        <v>125</v>
      </c>
      <c r="R27">
        <v>0</v>
      </c>
      <c r="S27">
        <v>0</v>
      </c>
      <c r="U27">
        <f t="shared" si="1"/>
        <v>0</v>
      </c>
    </row>
    <row r="28" spans="1:21" x14ac:dyDescent="0.3">
      <c r="A28" t="s">
        <v>114</v>
      </c>
      <c r="B28">
        <f t="shared" si="0"/>
        <v>0</v>
      </c>
      <c r="Q28" t="s">
        <v>96</v>
      </c>
      <c r="R28">
        <v>0</v>
      </c>
      <c r="S28">
        <v>0</v>
      </c>
      <c r="T28">
        <v>44</v>
      </c>
      <c r="U28">
        <f t="shared" si="1"/>
        <v>44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0834-820F-4BBE-930C-0AFE2A64C6B4}">
  <dimension ref="A1:U28"/>
  <sheetViews>
    <sheetView topLeftCell="A49" zoomScaleNormal="100" workbookViewId="0">
      <selection activeCell="N59" sqref="N59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44</v>
      </c>
      <c r="Q2" t="s">
        <v>97</v>
      </c>
      <c r="R2">
        <v>1</v>
      </c>
      <c r="S2">
        <v>1</v>
      </c>
      <c r="U2">
        <f>R2+S2+T2</f>
        <v>2</v>
      </c>
    </row>
    <row r="3" spans="1:21" x14ac:dyDescent="0.3">
      <c r="A3" t="s">
        <v>103</v>
      </c>
      <c r="B3">
        <f t="shared" si="0"/>
        <v>10</v>
      </c>
      <c r="Q3" t="s">
        <v>98</v>
      </c>
      <c r="R3">
        <v>8</v>
      </c>
      <c r="S3">
        <v>0</v>
      </c>
      <c r="U3">
        <f t="shared" ref="U3:U28" si="1">R3+S3+T3</f>
        <v>8</v>
      </c>
    </row>
    <row r="4" spans="1:21" x14ac:dyDescent="0.3">
      <c r="A4" t="s">
        <v>98</v>
      </c>
      <c r="B4">
        <f t="shared" si="0"/>
        <v>8</v>
      </c>
      <c r="Q4" t="s">
        <v>99</v>
      </c>
      <c r="R4">
        <v>3</v>
      </c>
      <c r="S4">
        <v>0</v>
      </c>
      <c r="U4">
        <f t="shared" si="1"/>
        <v>3</v>
      </c>
    </row>
    <row r="5" spans="1:21" x14ac:dyDescent="0.3">
      <c r="A5" t="s">
        <v>104</v>
      </c>
      <c r="B5">
        <f t="shared" si="0"/>
        <v>5</v>
      </c>
      <c r="Q5" t="s">
        <v>100</v>
      </c>
      <c r="R5">
        <v>1</v>
      </c>
      <c r="S5">
        <v>0</v>
      </c>
      <c r="U5">
        <f t="shared" si="1"/>
        <v>1</v>
      </c>
    </row>
    <row r="6" spans="1:21" x14ac:dyDescent="0.3">
      <c r="A6" t="s">
        <v>105</v>
      </c>
      <c r="B6">
        <f t="shared" si="0"/>
        <v>5</v>
      </c>
      <c r="Q6" t="s">
        <v>101</v>
      </c>
      <c r="R6">
        <v>0</v>
      </c>
      <c r="S6">
        <v>1</v>
      </c>
      <c r="U6">
        <f t="shared" si="1"/>
        <v>1</v>
      </c>
    </row>
    <row r="7" spans="1:21" x14ac:dyDescent="0.3">
      <c r="A7" t="s">
        <v>99</v>
      </c>
      <c r="B7">
        <f t="shared" si="0"/>
        <v>3</v>
      </c>
      <c r="Q7" t="s">
        <v>102</v>
      </c>
      <c r="R7">
        <v>0</v>
      </c>
      <c r="S7">
        <v>0</v>
      </c>
      <c r="U7">
        <f t="shared" si="1"/>
        <v>0</v>
      </c>
    </row>
    <row r="8" spans="1:21" x14ac:dyDescent="0.3">
      <c r="A8" t="s">
        <v>116</v>
      </c>
      <c r="B8">
        <f t="shared" si="0"/>
        <v>3</v>
      </c>
      <c r="Q8" t="s">
        <v>103</v>
      </c>
      <c r="R8">
        <v>9</v>
      </c>
      <c r="S8">
        <v>1</v>
      </c>
      <c r="U8">
        <f t="shared" si="1"/>
        <v>10</v>
      </c>
    </row>
    <row r="9" spans="1:21" x14ac:dyDescent="0.3">
      <c r="A9" t="s">
        <v>97</v>
      </c>
      <c r="B9">
        <f t="shared" si="0"/>
        <v>2</v>
      </c>
      <c r="Q9" t="s">
        <v>104</v>
      </c>
      <c r="R9">
        <v>5</v>
      </c>
      <c r="S9">
        <v>0</v>
      </c>
      <c r="U9">
        <f t="shared" si="1"/>
        <v>5</v>
      </c>
    </row>
    <row r="10" spans="1:21" x14ac:dyDescent="0.3">
      <c r="A10" t="s">
        <v>109</v>
      </c>
      <c r="B10">
        <f t="shared" si="0"/>
        <v>2</v>
      </c>
      <c r="Q10" t="s">
        <v>105</v>
      </c>
      <c r="R10">
        <v>3</v>
      </c>
      <c r="S10">
        <v>2</v>
      </c>
      <c r="U10">
        <f t="shared" si="1"/>
        <v>5</v>
      </c>
    </row>
    <row r="11" spans="1:21" x14ac:dyDescent="0.3">
      <c r="A11" t="s">
        <v>115</v>
      </c>
      <c r="B11">
        <f t="shared" si="0"/>
        <v>2</v>
      </c>
      <c r="Q11" t="s">
        <v>106</v>
      </c>
      <c r="R11">
        <v>0</v>
      </c>
      <c r="S11">
        <v>0</v>
      </c>
      <c r="U11">
        <f t="shared" si="1"/>
        <v>0</v>
      </c>
    </row>
    <row r="12" spans="1:21" x14ac:dyDescent="0.3">
      <c r="A12" t="s">
        <v>100</v>
      </c>
      <c r="B12">
        <f t="shared" si="0"/>
        <v>1</v>
      </c>
      <c r="Q12" t="s">
        <v>107</v>
      </c>
      <c r="R12">
        <v>0</v>
      </c>
      <c r="S12">
        <v>1</v>
      </c>
      <c r="U12">
        <f t="shared" si="1"/>
        <v>1</v>
      </c>
    </row>
    <row r="13" spans="1:21" x14ac:dyDescent="0.3">
      <c r="A13" t="s">
        <v>107</v>
      </c>
      <c r="B13">
        <f t="shared" si="0"/>
        <v>1</v>
      </c>
      <c r="Q13" t="s">
        <v>108</v>
      </c>
      <c r="R13">
        <v>1</v>
      </c>
      <c r="S13">
        <v>0</v>
      </c>
      <c r="U13">
        <f t="shared" si="1"/>
        <v>1</v>
      </c>
    </row>
    <row r="14" spans="1:21" x14ac:dyDescent="0.3">
      <c r="A14" t="s">
        <v>123</v>
      </c>
      <c r="B14">
        <f t="shared" si="0"/>
        <v>1</v>
      </c>
      <c r="Q14" t="s">
        <v>109</v>
      </c>
      <c r="R14">
        <v>2</v>
      </c>
      <c r="S14">
        <v>0</v>
      </c>
      <c r="U14">
        <f t="shared" si="1"/>
        <v>2</v>
      </c>
    </row>
    <row r="15" spans="1:21" x14ac:dyDescent="0.3">
      <c r="A15" t="s">
        <v>108</v>
      </c>
      <c r="B15">
        <f t="shared" si="0"/>
        <v>1</v>
      </c>
      <c r="Q15" t="s">
        <v>110</v>
      </c>
      <c r="R15">
        <v>0</v>
      </c>
      <c r="S15">
        <v>0</v>
      </c>
      <c r="U15">
        <f t="shared" si="1"/>
        <v>0</v>
      </c>
    </row>
    <row r="16" spans="1:21" x14ac:dyDescent="0.3">
      <c r="A16" t="s">
        <v>101</v>
      </c>
      <c r="B16">
        <f t="shared" si="0"/>
        <v>1</v>
      </c>
      <c r="Q16" t="s">
        <v>111</v>
      </c>
      <c r="R16">
        <v>0</v>
      </c>
      <c r="S16">
        <v>0</v>
      </c>
      <c r="U16">
        <f t="shared" si="1"/>
        <v>0</v>
      </c>
    </row>
    <row r="17" spans="1:21" x14ac:dyDescent="0.3">
      <c r="A17" t="s">
        <v>110</v>
      </c>
      <c r="B17">
        <f t="shared" si="0"/>
        <v>0</v>
      </c>
      <c r="Q17" t="s">
        <v>112</v>
      </c>
      <c r="R17">
        <v>0</v>
      </c>
      <c r="S17">
        <v>0</v>
      </c>
      <c r="U17">
        <f t="shared" si="1"/>
        <v>0</v>
      </c>
    </row>
    <row r="18" spans="1:21" x14ac:dyDescent="0.3">
      <c r="A18" t="s">
        <v>102</v>
      </c>
      <c r="B18">
        <f t="shared" si="0"/>
        <v>0</v>
      </c>
      <c r="Q18" t="s">
        <v>113</v>
      </c>
      <c r="R18">
        <v>0</v>
      </c>
      <c r="S18">
        <v>0</v>
      </c>
      <c r="U18">
        <f t="shared" si="1"/>
        <v>0</v>
      </c>
    </row>
    <row r="19" spans="1:21" x14ac:dyDescent="0.3">
      <c r="A19" t="s">
        <v>111</v>
      </c>
      <c r="B19">
        <f t="shared" si="0"/>
        <v>0</v>
      </c>
      <c r="Q19" t="s">
        <v>114</v>
      </c>
      <c r="R19">
        <v>0</v>
      </c>
      <c r="S19">
        <v>0</v>
      </c>
      <c r="U19">
        <f t="shared" si="1"/>
        <v>0</v>
      </c>
    </row>
    <row r="20" spans="1:21" x14ac:dyDescent="0.3">
      <c r="A20" t="s">
        <v>117</v>
      </c>
      <c r="B20">
        <f t="shared" si="0"/>
        <v>0</v>
      </c>
      <c r="Q20" t="s">
        <v>115</v>
      </c>
      <c r="R20">
        <v>2</v>
      </c>
      <c r="S20">
        <v>0</v>
      </c>
      <c r="U20">
        <f t="shared" si="1"/>
        <v>2</v>
      </c>
    </row>
    <row r="21" spans="1:21" x14ac:dyDescent="0.3">
      <c r="A21" t="s">
        <v>112</v>
      </c>
      <c r="B21">
        <f t="shared" si="0"/>
        <v>0</v>
      </c>
      <c r="Q21" t="s">
        <v>116</v>
      </c>
      <c r="R21">
        <v>3</v>
      </c>
      <c r="S21">
        <v>0</v>
      </c>
      <c r="U21">
        <f t="shared" si="1"/>
        <v>3</v>
      </c>
    </row>
    <row r="22" spans="1:21" x14ac:dyDescent="0.3">
      <c r="A22" t="s">
        <v>106</v>
      </c>
      <c r="B22">
        <f t="shared" si="0"/>
        <v>0</v>
      </c>
      <c r="Q22" t="s">
        <v>117</v>
      </c>
      <c r="R22">
        <v>0</v>
      </c>
      <c r="S22">
        <v>0</v>
      </c>
      <c r="U22">
        <f t="shared" si="1"/>
        <v>0</v>
      </c>
    </row>
    <row r="23" spans="1:21" x14ac:dyDescent="0.3">
      <c r="A23" t="s">
        <v>113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118</v>
      </c>
      <c r="B24">
        <f t="shared" si="0"/>
        <v>0</v>
      </c>
      <c r="Q24" t="s">
        <v>119</v>
      </c>
      <c r="R24">
        <v>0</v>
      </c>
      <c r="S24">
        <v>0</v>
      </c>
      <c r="U24">
        <f t="shared" si="1"/>
        <v>0</v>
      </c>
    </row>
    <row r="25" spans="1:21" x14ac:dyDescent="0.3">
      <c r="A25" t="s">
        <v>119</v>
      </c>
      <c r="B25">
        <f t="shared" si="0"/>
        <v>0</v>
      </c>
      <c r="Q25" t="s">
        <v>122</v>
      </c>
      <c r="R25">
        <v>0</v>
      </c>
      <c r="S25">
        <v>0</v>
      </c>
      <c r="U25">
        <f t="shared" si="1"/>
        <v>0</v>
      </c>
    </row>
    <row r="26" spans="1:21" x14ac:dyDescent="0.3">
      <c r="A26" t="s">
        <v>122</v>
      </c>
      <c r="B26">
        <f t="shared" si="0"/>
        <v>0</v>
      </c>
      <c r="Q26" t="s">
        <v>123</v>
      </c>
      <c r="R26">
        <v>0</v>
      </c>
      <c r="S26">
        <v>1</v>
      </c>
      <c r="U26">
        <f t="shared" si="1"/>
        <v>1</v>
      </c>
    </row>
    <row r="27" spans="1:21" x14ac:dyDescent="0.3">
      <c r="A27" t="s">
        <v>125</v>
      </c>
      <c r="B27">
        <f t="shared" si="0"/>
        <v>0</v>
      </c>
      <c r="Q27" t="s">
        <v>125</v>
      </c>
      <c r="R27">
        <v>0</v>
      </c>
      <c r="S27">
        <v>0</v>
      </c>
      <c r="U27">
        <f t="shared" si="1"/>
        <v>0</v>
      </c>
    </row>
    <row r="28" spans="1:21" x14ac:dyDescent="0.3">
      <c r="A28" t="s">
        <v>114</v>
      </c>
      <c r="B28">
        <f t="shared" si="0"/>
        <v>0</v>
      </c>
      <c r="Q28" t="s">
        <v>96</v>
      </c>
      <c r="T28">
        <v>44</v>
      </c>
      <c r="U28">
        <f t="shared" si="1"/>
        <v>44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5D2F-D4F5-4174-8CB1-14BC4BF6E662}">
  <dimension ref="A1:U30"/>
  <sheetViews>
    <sheetView topLeftCell="A34" zoomScaleNormal="100" workbookViewId="0">
      <selection activeCell="Q51" sqref="Q51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60</v>
      </c>
      <c r="Q2" t="s">
        <v>97</v>
      </c>
      <c r="R2">
        <v>7</v>
      </c>
      <c r="S2">
        <v>0</v>
      </c>
      <c r="U2">
        <f>R2+S2+T2</f>
        <v>7</v>
      </c>
    </row>
    <row r="3" spans="1:21" x14ac:dyDescent="0.3">
      <c r="A3" t="s">
        <v>98</v>
      </c>
      <c r="B3">
        <f t="shared" si="0"/>
        <v>10</v>
      </c>
      <c r="Q3" t="s">
        <v>98</v>
      </c>
      <c r="R3">
        <v>8</v>
      </c>
      <c r="S3">
        <v>2</v>
      </c>
      <c r="U3">
        <f t="shared" ref="U3:U28" si="1">R3+S3+T3</f>
        <v>10</v>
      </c>
    </row>
    <row r="4" spans="1:21" x14ac:dyDescent="0.3">
      <c r="A4" t="s">
        <v>103</v>
      </c>
      <c r="B4">
        <f t="shared" si="0"/>
        <v>9</v>
      </c>
      <c r="Q4" t="s">
        <v>99</v>
      </c>
      <c r="R4">
        <v>1</v>
      </c>
      <c r="S4">
        <v>1</v>
      </c>
      <c r="U4">
        <f t="shared" si="1"/>
        <v>2</v>
      </c>
    </row>
    <row r="5" spans="1:21" x14ac:dyDescent="0.3">
      <c r="A5" t="s">
        <v>104</v>
      </c>
      <c r="B5">
        <f t="shared" si="0"/>
        <v>7</v>
      </c>
      <c r="Q5" t="s">
        <v>100</v>
      </c>
      <c r="R5">
        <v>5</v>
      </c>
      <c r="S5">
        <v>1</v>
      </c>
      <c r="U5">
        <f t="shared" si="1"/>
        <v>6</v>
      </c>
    </row>
    <row r="6" spans="1:21" x14ac:dyDescent="0.3">
      <c r="A6" t="s">
        <v>97</v>
      </c>
      <c r="B6">
        <f t="shared" si="0"/>
        <v>7</v>
      </c>
      <c r="Q6" t="s">
        <v>101</v>
      </c>
      <c r="R6">
        <v>0</v>
      </c>
      <c r="S6">
        <v>0</v>
      </c>
      <c r="U6">
        <f t="shared" si="1"/>
        <v>0</v>
      </c>
    </row>
    <row r="7" spans="1:21" x14ac:dyDescent="0.3">
      <c r="A7" t="s">
        <v>100</v>
      </c>
      <c r="B7">
        <f t="shared" si="0"/>
        <v>6</v>
      </c>
      <c r="Q7" t="s">
        <v>102</v>
      </c>
      <c r="R7">
        <v>0</v>
      </c>
      <c r="S7">
        <v>0</v>
      </c>
      <c r="U7">
        <f t="shared" si="1"/>
        <v>0</v>
      </c>
    </row>
    <row r="8" spans="1:21" x14ac:dyDescent="0.3">
      <c r="A8" t="s">
        <v>105</v>
      </c>
      <c r="B8">
        <f t="shared" si="0"/>
        <v>5</v>
      </c>
      <c r="Q8" t="s">
        <v>103</v>
      </c>
      <c r="R8">
        <v>9</v>
      </c>
      <c r="S8">
        <v>0</v>
      </c>
      <c r="U8">
        <f t="shared" si="1"/>
        <v>9</v>
      </c>
    </row>
    <row r="9" spans="1:21" x14ac:dyDescent="0.3">
      <c r="A9" t="s">
        <v>116</v>
      </c>
      <c r="B9">
        <f t="shared" si="0"/>
        <v>5</v>
      </c>
      <c r="Q9" t="s">
        <v>104</v>
      </c>
      <c r="R9">
        <v>7</v>
      </c>
      <c r="S9">
        <v>0</v>
      </c>
      <c r="U9">
        <f t="shared" si="1"/>
        <v>7</v>
      </c>
    </row>
    <row r="10" spans="1:21" x14ac:dyDescent="0.3">
      <c r="A10" t="s">
        <v>99</v>
      </c>
      <c r="B10">
        <f t="shared" si="0"/>
        <v>2</v>
      </c>
      <c r="Q10" t="s">
        <v>105</v>
      </c>
      <c r="R10">
        <v>4</v>
      </c>
      <c r="S10">
        <v>1</v>
      </c>
      <c r="U10">
        <f t="shared" si="1"/>
        <v>5</v>
      </c>
    </row>
    <row r="11" spans="1:21" x14ac:dyDescent="0.3">
      <c r="A11" t="s">
        <v>109</v>
      </c>
      <c r="B11">
        <f t="shared" si="0"/>
        <v>2</v>
      </c>
      <c r="Q11" t="s">
        <v>106</v>
      </c>
      <c r="R11">
        <v>0</v>
      </c>
      <c r="S11">
        <v>0</v>
      </c>
      <c r="U11">
        <f t="shared" si="1"/>
        <v>0</v>
      </c>
    </row>
    <row r="12" spans="1:21" x14ac:dyDescent="0.3">
      <c r="A12" t="s">
        <v>108</v>
      </c>
      <c r="B12">
        <f t="shared" si="0"/>
        <v>1</v>
      </c>
      <c r="Q12" t="s">
        <v>107</v>
      </c>
      <c r="R12">
        <v>0</v>
      </c>
      <c r="S12">
        <v>0</v>
      </c>
      <c r="U12">
        <f t="shared" si="1"/>
        <v>0</v>
      </c>
    </row>
    <row r="13" spans="1:21" x14ac:dyDescent="0.3">
      <c r="A13" t="s">
        <v>111</v>
      </c>
      <c r="B13">
        <f t="shared" si="0"/>
        <v>1</v>
      </c>
      <c r="Q13" t="s">
        <v>108</v>
      </c>
      <c r="R13">
        <v>1</v>
      </c>
      <c r="S13">
        <v>0</v>
      </c>
      <c r="U13">
        <f t="shared" si="1"/>
        <v>1</v>
      </c>
    </row>
    <row r="14" spans="1:21" x14ac:dyDescent="0.3">
      <c r="A14" t="s">
        <v>113</v>
      </c>
      <c r="B14">
        <f t="shared" si="0"/>
        <v>1</v>
      </c>
      <c r="Q14" t="s">
        <v>109</v>
      </c>
      <c r="R14">
        <v>2</v>
      </c>
      <c r="S14">
        <v>0</v>
      </c>
      <c r="U14">
        <f t="shared" si="1"/>
        <v>2</v>
      </c>
    </row>
    <row r="15" spans="1:21" x14ac:dyDescent="0.3">
      <c r="A15" t="s">
        <v>125</v>
      </c>
      <c r="B15">
        <f t="shared" si="0"/>
        <v>1</v>
      </c>
      <c r="Q15" t="s">
        <v>110</v>
      </c>
      <c r="R15">
        <v>0</v>
      </c>
      <c r="S15">
        <v>0</v>
      </c>
      <c r="U15">
        <f t="shared" si="1"/>
        <v>0</v>
      </c>
    </row>
    <row r="16" spans="1:21" x14ac:dyDescent="0.3">
      <c r="A16" t="s">
        <v>114</v>
      </c>
      <c r="B16">
        <f t="shared" si="0"/>
        <v>1</v>
      </c>
      <c r="Q16" t="s">
        <v>111</v>
      </c>
      <c r="R16">
        <v>1</v>
      </c>
      <c r="S16">
        <v>0</v>
      </c>
      <c r="U16">
        <f t="shared" si="1"/>
        <v>1</v>
      </c>
    </row>
    <row r="17" spans="1:21" x14ac:dyDescent="0.3">
      <c r="A17" t="s">
        <v>115</v>
      </c>
      <c r="B17">
        <f t="shared" si="0"/>
        <v>0</v>
      </c>
      <c r="Q17" t="s">
        <v>112</v>
      </c>
      <c r="R17">
        <v>0</v>
      </c>
      <c r="S17">
        <v>0</v>
      </c>
      <c r="U17">
        <f t="shared" si="1"/>
        <v>0</v>
      </c>
    </row>
    <row r="18" spans="1:21" x14ac:dyDescent="0.3">
      <c r="A18" t="s">
        <v>107</v>
      </c>
      <c r="B18">
        <f t="shared" si="0"/>
        <v>0</v>
      </c>
      <c r="Q18" t="s">
        <v>113</v>
      </c>
      <c r="R18">
        <v>0</v>
      </c>
      <c r="S18">
        <v>1</v>
      </c>
      <c r="U18">
        <f t="shared" si="1"/>
        <v>1</v>
      </c>
    </row>
    <row r="19" spans="1:21" x14ac:dyDescent="0.3">
      <c r="A19" t="s">
        <v>123</v>
      </c>
      <c r="B19">
        <f t="shared" si="0"/>
        <v>0</v>
      </c>
      <c r="Q19" t="s">
        <v>114</v>
      </c>
      <c r="R19">
        <v>1</v>
      </c>
      <c r="S19">
        <v>0</v>
      </c>
      <c r="U19">
        <f t="shared" si="1"/>
        <v>1</v>
      </c>
    </row>
    <row r="20" spans="1:21" x14ac:dyDescent="0.3">
      <c r="A20" t="s">
        <v>101</v>
      </c>
      <c r="B20">
        <f t="shared" si="0"/>
        <v>0</v>
      </c>
      <c r="Q20" t="s">
        <v>115</v>
      </c>
      <c r="R20">
        <v>0</v>
      </c>
      <c r="S20">
        <v>0</v>
      </c>
      <c r="U20">
        <f t="shared" si="1"/>
        <v>0</v>
      </c>
    </row>
    <row r="21" spans="1:21" x14ac:dyDescent="0.3">
      <c r="A21" t="s">
        <v>110</v>
      </c>
      <c r="B21">
        <f t="shared" si="0"/>
        <v>0</v>
      </c>
      <c r="Q21" t="s">
        <v>116</v>
      </c>
      <c r="R21">
        <v>5</v>
      </c>
      <c r="S21">
        <v>0</v>
      </c>
      <c r="U21">
        <f t="shared" si="1"/>
        <v>5</v>
      </c>
    </row>
    <row r="22" spans="1:21" x14ac:dyDescent="0.3">
      <c r="A22" t="s">
        <v>102</v>
      </c>
      <c r="B22">
        <f t="shared" si="0"/>
        <v>0</v>
      </c>
      <c r="Q22" t="s">
        <v>117</v>
      </c>
      <c r="R22">
        <v>0</v>
      </c>
      <c r="S22">
        <v>0</v>
      </c>
      <c r="U22">
        <f t="shared" si="1"/>
        <v>0</v>
      </c>
    </row>
    <row r="23" spans="1:21" x14ac:dyDescent="0.3">
      <c r="A23" t="s">
        <v>117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112</v>
      </c>
      <c r="B24">
        <f t="shared" si="0"/>
        <v>0</v>
      </c>
      <c r="Q24" t="s">
        <v>119</v>
      </c>
      <c r="R24">
        <v>0</v>
      </c>
      <c r="S24">
        <v>0</v>
      </c>
      <c r="U24">
        <f t="shared" si="1"/>
        <v>0</v>
      </c>
    </row>
    <row r="25" spans="1:21" x14ac:dyDescent="0.3">
      <c r="A25" t="s">
        <v>106</v>
      </c>
      <c r="B25">
        <f t="shared" si="0"/>
        <v>0</v>
      </c>
      <c r="Q25" t="s">
        <v>122</v>
      </c>
      <c r="R25">
        <v>0</v>
      </c>
      <c r="S25">
        <v>0</v>
      </c>
      <c r="U25">
        <f t="shared" si="1"/>
        <v>0</v>
      </c>
    </row>
    <row r="26" spans="1:21" x14ac:dyDescent="0.3">
      <c r="A26" t="s">
        <v>118</v>
      </c>
      <c r="B26">
        <f t="shared" si="0"/>
        <v>0</v>
      </c>
      <c r="Q26" t="s">
        <v>123</v>
      </c>
      <c r="R26">
        <v>0</v>
      </c>
      <c r="S26">
        <v>0</v>
      </c>
      <c r="U26">
        <f t="shared" si="1"/>
        <v>0</v>
      </c>
    </row>
    <row r="27" spans="1:21" x14ac:dyDescent="0.3">
      <c r="A27" t="s">
        <v>119</v>
      </c>
      <c r="B27">
        <f t="shared" si="0"/>
        <v>0</v>
      </c>
      <c r="Q27" t="s">
        <v>125</v>
      </c>
      <c r="R27">
        <v>1</v>
      </c>
      <c r="S27">
        <v>0</v>
      </c>
      <c r="U27">
        <f t="shared" si="1"/>
        <v>1</v>
      </c>
    </row>
    <row r="28" spans="1:21" x14ac:dyDescent="0.3">
      <c r="A28" t="s">
        <v>122</v>
      </c>
      <c r="B28">
        <f t="shared" si="0"/>
        <v>0</v>
      </c>
      <c r="Q28" t="s">
        <v>96</v>
      </c>
      <c r="T28">
        <v>60</v>
      </c>
      <c r="U28">
        <f t="shared" si="1"/>
        <v>60</v>
      </c>
    </row>
    <row r="30" spans="1:21" x14ac:dyDescent="0.3">
      <c r="R30">
        <f>SUM(R2:R27)</f>
        <v>52</v>
      </c>
      <c r="S30">
        <f>SUM(S2:S27)</f>
        <v>6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9415-803A-4E8F-B836-FB6756783379}">
  <dimension ref="A1:U30"/>
  <sheetViews>
    <sheetView topLeftCell="A28" zoomScaleNormal="100" workbookViewId="0">
      <selection activeCell="P38" sqref="P38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40</v>
      </c>
      <c r="Q2" t="s">
        <v>97</v>
      </c>
      <c r="R2">
        <v>7</v>
      </c>
      <c r="S2">
        <v>0</v>
      </c>
      <c r="U2">
        <f>R2+S2+T2</f>
        <v>7</v>
      </c>
    </row>
    <row r="3" spans="1:21" x14ac:dyDescent="0.3">
      <c r="A3" t="s">
        <v>98</v>
      </c>
      <c r="B3">
        <f t="shared" si="0"/>
        <v>9</v>
      </c>
      <c r="Q3" t="s">
        <v>98</v>
      </c>
      <c r="R3">
        <v>7</v>
      </c>
      <c r="S3">
        <v>2</v>
      </c>
      <c r="U3">
        <f t="shared" ref="U3:U28" si="1">R3+S3+T3</f>
        <v>9</v>
      </c>
    </row>
    <row r="4" spans="1:21" x14ac:dyDescent="0.3">
      <c r="A4" t="s">
        <v>103</v>
      </c>
      <c r="B4">
        <f t="shared" si="0"/>
        <v>7</v>
      </c>
      <c r="Q4" t="s">
        <v>99</v>
      </c>
      <c r="R4">
        <v>1</v>
      </c>
      <c r="S4">
        <v>1</v>
      </c>
      <c r="U4">
        <f t="shared" si="1"/>
        <v>2</v>
      </c>
    </row>
    <row r="5" spans="1:21" x14ac:dyDescent="0.3">
      <c r="A5" t="s">
        <v>104</v>
      </c>
      <c r="B5">
        <f t="shared" si="0"/>
        <v>7</v>
      </c>
      <c r="Q5" t="s">
        <v>100</v>
      </c>
      <c r="R5">
        <v>5</v>
      </c>
      <c r="S5">
        <v>1</v>
      </c>
      <c r="U5">
        <f t="shared" si="1"/>
        <v>6</v>
      </c>
    </row>
    <row r="6" spans="1:21" x14ac:dyDescent="0.3">
      <c r="A6" t="s">
        <v>97</v>
      </c>
      <c r="B6">
        <f t="shared" si="0"/>
        <v>7</v>
      </c>
      <c r="Q6" t="s">
        <v>101</v>
      </c>
      <c r="R6">
        <v>0</v>
      </c>
      <c r="S6">
        <v>0</v>
      </c>
      <c r="U6">
        <f t="shared" si="1"/>
        <v>0</v>
      </c>
    </row>
    <row r="7" spans="1:21" x14ac:dyDescent="0.3">
      <c r="A7" t="s">
        <v>100</v>
      </c>
      <c r="B7">
        <f t="shared" si="0"/>
        <v>6</v>
      </c>
      <c r="Q7" t="s">
        <v>102</v>
      </c>
      <c r="R7">
        <v>0</v>
      </c>
      <c r="S7">
        <v>0</v>
      </c>
      <c r="U7">
        <f t="shared" si="1"/>
        <v>0</v>
      </c>
    </row>
    <row r="8" spans="1:21" x14ac:dyDescent="0.3">
      <c r="A8" t="s">
        <v>105</v>
      </c>
      <c r="B8">
        <f t="shared" si="0"/>
        <v>5</v>
      </c>
      <c r="Q8" t="s">
        <v>103</v>
      </c>
      <c r="R8">
        <v>7</v>
      </c>
      <c r="S8">
        <v>0</v>
      </c>
      <c r="U8">
        <f t="shared" si="1"/>
        <v>7</v>
      </c>
    </row>
    <row r="9" spans="1:21" x14ac:dyDescent="0.3">
      <c r="A9" t="s">
        <v>116</v>
      </c>
      <c r="B9">
        <f t="shared" si="0"/>
        <v>5</v>
      </c>
      <c r="Q9" t="s">
        <v>104</v>
      </c>
      <c r="R9">
        <v>7</v>
      </c>
      <c r="S9">
        <v>0</v>
      </c>
      <c r="U9">
        <f t="shared" si="1"/>
        <v>7</v>
      </c>
    </row>
    <row r="10" spans="1:21" x14ac:dyDescent="0.3">
      <c r="A10" t="s">
        <v>99</v>
      </c>
      <c r="B10">
        <f t="shared" si="0"/>
        <v>2</v>
      </c>
      <c r="Q10" t="s">
        <v>105</v>
      </c>
      <c r="R10">
        <v>4</v>
      </c>
      <c r="S10">
        <v>1</v>
      </c>
      <c r="U10">
        <f t="shared" si="1"/>
        <v>5</v>
      </c>
    </row>
    <row r="11" spans="1:21" x14ac:dyDescent="0.3">
      <c r="A11" t="s">
        <v>109</v>
      </c>
      <c r="B11">
        <f t="shared" si="0"/>
        <v>2</v>
      </c>
      <c r="Q11" t="s">
        <v>106</v>
      </c>
      <c r="R11">
        <v>0</v>
      </c>
      <c r="S11">
        <v>0</v>
      </c>
      <c r="U11">
        <f t="shared" si="1"/>
        <v>0</v>
      </c>
    </row>
    <row r="12" spans="1:21" x14ac:dyDescent="0.3">
      <c r="A12" t="s">
        <v>108</v>
      </c>
      <c r="B12">
        <f t="shared" si="0"/>
        <v>1</v>
      </c>
      <c r="Q12" t="s">
        <v>107</v>
      </c>
      <c r="R12">
        <v>0</v>
      </c>
      <c r="S12">
        <v>0</v>
      </c>
      <c r="U12">
        <f t="shared" si="1"/>
        <v>0</v>
      </c>
    </row>
    <row r="13" spans="1:21" x14ac:dyDescent="0.3">
      <c r="A13" t="s">
        <v>111</v>
      </c>
      <c r="B13">
        <f t="shared" si="0"/>
        <v>1</v>
      </c>
      <c r="Q13" t="s">
        <v>108</v>
      </c>
      <c r="R13">
        <v>1</v>
      </c>
      <c r="S13">
        <v>0</v>
      </c>
      <c r="U13">
        <f t="shared" si="1"/>
        <v>1</v>
      </c>
    </row>
    <row r="14" spans="1:21" x14ac:dyDescent="0.3">
      <c r="A14" t="s">
        <v>113</v>
      </c>
      <c r="B14">
        <f t="shared" si="0"/>
        <v>1</v>
      </c>
      <c r="Q14" t="s">
        <v>109</v>
      </c>
      <c r="R14">
        <v>2</v>
      </c>
      <c r="S14">
        <v>0</v>
      </c>
      <c r="U14">
        <f t="shared" si="1"/>
        <v>2</v>
      </c>
    </row>
    <row r="15" spans="1:21" x14ac:dyDescent="0.3">
      <c r="A15" t="s">
        <v>125</v>
      </c>
      <c r="B15">
        <f t="shared" si="0"/>
        <v>1</v>
      </c>
      <c r="Q15" t="s">
        <v>110</v>
      </c>
      <c r="R15">
        <v>0</v>
      </c>
      <c r="S15">
        <v>0</v>
      </c>
      <c r="U15">
        <f t="shared" si="1"/>
        <v>0</v>
      </c>
    </row>
    <row r="16" spans="1:21" x14ac:dyDescent="0.3">
      <c r="A16" t="s">
        <v>114</v>
      </c>
      <c r="B16">
        <f t="shared" si="0"/>
        <v>1</v>
      </c>
      <c r="Q16" t="s">
        <v>111</v>
      </c>
      <c r="R16">
        <v>1</v>
      </c>
      <c r="S16">
        <v>0</v>
      </c>
      <c r="U16">
        <f t="shared" si="1"/>
        <v>1</v>
      </c>
    </row>
    <row r="17" spans="1:21" x14ac:dyDescent="0.3">
      <c r="A17" t="s">
        <v>115</v>
      </c>
      <c r="B17">
        <f t="shared" si="0"/>
        <v>0</v>
      </c>
      <c r="Q17" t="s">
        <v>112</v>
      </c>
      <c r="R17">
        <v>0</v>
      </c>
      <c r="S17">
        <v>0</v>
      </c>
      <c r="U17">
        <f t="shared" si="1"/>
        <v>0</v>
      </c>
    </row>
    <row r="18" spans="1:21" x14ac:dyDescent="0.3">
      <c r="A18" t="s">
        <v>107</v>
      </c>
      <c r="B18">
        <f t="shared" si="0"/>
        <v>0</v>
      </c>
      <c r="Q18" t="s">
        <v>113</v>
      </c>
      <c r="R18">
        <v>0</v>
      </c>
      <c r="S18">
        <v>1</v>
      </c>
      <c r="U18">
        <f t="shared" si="1"/>
        <v>1</v>
      </c>
    </row>
    <row r="19" spans="1:21" x14ac:dyDescent="0.3">
      <c r="A19" t="s">
        <v>123</v>
      </c>
      <c r="B19">
        <f t="shared" si="0"/>
        <v>0</v>
      </c>
      <c r="Q19" t="s">
        <v>114</v>
      </c>
      <c r="R19">
        <v>1</v>
      </c>
      <c r="S19">
        <v>0</v>
      </c>
      <c r="U19">
        <f t="shared" si="1"/>
        <v>1</v>
      </c>
    </row>
    <row r="20" spans="1:21" x14ac:dyDescent="0.3">
      <c r="A20" t="s">
        <v>101</v>
      </c>
      <c r="B20">
        <f t="shared" si="0"/>
        <v>0</v>
      </c>
      <c r="Q20" t="s">
        <v>115</v>
      </c>
      <c r="R20">
        <v>0</v>
      </c>
      <c r="S20">
        <v>0</v>
      </c>
      <c r="U20">
        <f t="shared" si="1"/>
        <v>0</v>
      </c>
    </row>
    <row r="21" spans="1:21" x14ac:dyDescent="0.3">
      <c r="A21" t="s">
        <v>110</v>
      </c>
      <c r="B21">
        <f t="shared" si="0"/>
        <v>0</v>
      </c>
      <c r="Q21" t="s">
        <v>116</v>
      </c>
      <c r="R21">
        <v>5</v>
      </c>
      <c r="S21">
        <v>0</v>
      </c>
      <c r="U21">
        <f t="shared" si="1"/>
        <v>5</v>
      </c>
    </row>
    <row r="22" spans="1:21" x14ac:dyDescent="0.3">
      <c r="A22" t="s">
        <v>102</v>
      </c>
      <c r="B22">
        <f t="shared" si="0"/>
        <v>0</v>
      </c>
      <c r="Q22" t="s">
        <v>117</v>
      </c>
      <c r="R22">
        <v>0</v>
      </c>
      <c r="S22">
        <v>0</v>
      </c>
      <c r="U22">
        <f t="shared" si="1"/>
        <v>0</v>
      </c>
    </row>
    <row r="23" spans="1:21" x14ac:dyDescent="0.3">
      <c r="A23" t="s">
        <v>117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112</v>
      </c>
      <c r="B24">
        <f t="shared" si="0"/>
        <v>0</v>
      </c>
      <c r="Q24" t="s">
        <v>119</v>
      </c>
      <c r="R24">
        <v>0</v>
      </c>
      <c r="S24">
        <v>0</v>
      </c>
      <c r="U24">
        <f t="shared" si="1"/>
        <v>0</v>
      </c>
    </row>
    <row r="25" spans="1:21" x14ac:dyDescent="0.3">
      <c r="A25" t="s">
        <v>106</v>
      </c>
      <c r="B25">
        <f t="shared" si="0"/>
        <v>0</v>
      </c>
      <c r="Q25" t="s">
        <v>122</v>
      </c>
      <c r="R25">
        <v>0</v>
      </c>
      <c r="S25">
        <v>0</v>
      </c>
      <c r="U25">
        <f t="shared" si="1"/>
        <v>0</v>
      </c>
    </row>
    <row r="26" spans="1:21" x14ac:dyDescent="0.3">
      <c r="A26" t="s">
        <v>118</v>
      </c>
      <c r="B26">
        <f t="shared" si="0"/>
        <v>0</v>
      </c>
      <c r="Q26" t="s">
        <v>123</v>
      </c>
      <c r="R26">
        <v>0</v>
      </c>
      <c r="S26">
        <v>0</v>
      </c>
      <c r="U26">
        <f t="shared" si="1"/>
        <v>0</v>
      </c>
    </row>
    <row r="27" spans="1:21" x14ac:dyDescent="0.3">
      <c r="A27" t="s">
        <v>119</v>
      </c>
      <c r="B27">
        <f t="shared" si="0"/>
        <v>0</v>
      </c>
      <c r="Q27" t="s">
        <v>125</v>
      </c>
      <c r="R27">
        <v>1</v>
      </c>
      <c r="S27">
        <v>0</v>
      </c>
      <c r="U27">
        <f t="shared" si="1"/>
        <v>1</v>
      </c>
    </row>
    <row r="28" spans="1:21" x14ac:dyDescent="0.3">
      <c r="A28" t="s">
        <v>122</v>
      </c>
      <c r="B28">
        <f t="shared" si="0"/>
        <v>0</v>
      </c>
      <c r="Q28" t="s">
        <v>96</v>
      </c>
      <c r="R28">
        <v>0</v>
      </c>
      <c r="S28">
        <v>0</v>
      </c>
      <c r="T28">
        <v>40</v>
      </c>
      <c r="U28">
        <f t="shared" si="1"/>
        <v>40</v>
      </c>
    </row>
    <row r="30" spans="1:21" x14ac:dyDescent="0.3">
      <c r="R30">
        <f>SUM(R2:R28)</f>
        <v>49</v>
      </c>
      <c r="S30">
        <f>SUM(S2:S28)</f>
        <v>6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4F2F-52B1-462A-8593-0B76A1AC72B3}">
  <dimension ref="A1:U30"/>
  <sheetViews>
    <sheetView topLeftCell="A28" zoomScaleNormal="100" workbookViewId="0">
      <selection activeCell="P41" sqref="P41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27</v>
      </c>
      <c r="Q2" t="s">
        <v>97</v>
      </c>
      <c r="R2">
        <v>5</v>
      </c>
      <c r="S2">
        <v>5</v>
      </c>
      <c r="U2">
        <f>R2+S2+T2</f>
        <v>10</v>
      </c>
    </row>
    <row r="3" spans="1:21" x14ac:dyDescent="0.3">
      <c r="A3" t="s">
        <v>98</v>
      </c>
      <c r="B3">
        <f t="shared" si="0"/>
        <v>12</v>
      </c>
      <c r="Q3" t="s">
        <v>98</v>
      </c>
      <c r="R3">
        <v>12</v>
      </c>
      <c r="S3">
        <v>0</v>
      </c>
      <c r="U3">
        <f t="shared" ref="U3:U28" si="1">R3+S3+T3</f>
        <v>12</v>
      </c>
    </row>
    <row r="4" spans="1:21" x14ac:dyDescent="0.3">
      <c r="A4" t="s">
        <v>97</v>
      </c>
      <c r="B4">
        <f t="shared" si="0"/>
        <v>10</v>
      </c>
      <c r="Q4" t="s">
        <v>99</v>
      </c>
      <c r="R4">
        <v>10</v>
      </c>
      <c r="S4">
        <v>0</v>
      </c>
      <c r="U4">
        <f t="shared" si="1"/>
        <v>10</v>
      </c>
    </row>
    <row r="5" spans="1:21" x14ac:dyDescent="0.3">
      <c r="A5" t="s">
        <v>99</v>
      </c>
      <c r="B5">
        <f t="shared" si="0"/>
        <v>10</v>
      </c>
      <c r="Q5" t="s">
        <v>100</v>
      </c>
      <c r="R5">
        <v>1</v>
      </c>
      <c r="S5">
        <v>1</v>
      </c>
      <c r="U5">
        <f t="shared" si="1"/>
        <v>2</v>
      </c>
    </row>
    <row r="6" spans="1:21" x14ac:dyDescent="0.3">
      <c r="A6" t="s">
        <v>100</v>
      </c>
      <c r="B6">
        <f t="shared" si="0"/>
        <v>2</v>
      </c>
      <c r="Q6" t="s">
        <v>101</v>
      </c>
      <c r="R6">
        <v>0</v>
      </c>
      <c r="S6">
        <v>0</v>
      </c>
      <c r="U6">
        <f t="shared" si="1"/>
        <v>0</v>
      </c>
    </row>
    <row r="7" spans="1:21" x14ac:dyDescent="0.3">
      <c r="A7" t="s">
        <v>111</v>
      </c>
      <c r="B7">
        <f t="shared" si="0"/>
        <v>2</v>
      </c>
      <c r="Q7" t="s">
        <v>102</v>
      </c>
      <c r="R7">
        <v>0</v>
      </c>
      <c r="S7">
        <v>0</v>
      </c>
      <c r="U7">
        <f t="shared" si="1"/>
        <v>0</v>
      </c>
    </row>
    <row r="8" spans="1:21" x14ac:dyDescent="0.3">
      <c r="A8" t="s">
        <v>103</v>
      </c>
      <c r="B8">
        <f t="shared" si="0"/>
        <v>1</v>
      </c>
      <c r="Q8" t="s">
        <v>103</v>
      </c>
      <c r="R8">
        <v>1</v>
      </c>
      <c r="S8">
        <v>0</v>
      </c>
      <c r="U8">
        <f t="shared" si="1"/>
        <v>1</v>
      </c>
    </row>
    <row r="9" spans="1:21" x14ac:dyDescent="0.3">
      <c r="A9" t="s">
        <v>104</v>
      </c>
      <c r="B9">
        <f t="shared" si="0"/>
        <v>1</v>
      </c>
      <c r="Q9" t="s">
        <v>104</v>
      </c>
      <c r="R9">
        <v>1</v>
      </c>
      <c r="S9">
        <v>0</v>
      </c>
      <c r="U9">
        <f t="shared" si="1"/>
        <v>1</v>
      </c>
    </row>
    <row r="10" spans="1:21" x14ac:dyDescent="0.3">
      <c r="A10" t="s">
        <v>105</v>
      </c>
      <c r="B10">
        <f t="shared" si="0"/>
        <v>1</v>
      </c>
      <c r="Q10" t="s">
        <v>105</v>
      </c>
      <c r="R10">
        <v>1</v>
      </c>
      <c r="S10">
        <v>0</v>
      </c>
      <c r="U10">
        <f t="shared" si="1"/>
        <v>1</v>
      </c>
    </row>
    <row r="11" spans="1:21" x14ac:dyDescent="0.3">
      <c r="A11" t="s">
        <v>110</v>
      </c>
      <c r="B11">
        <f t="shared" si="0"/>
        <v>1</v>
      </c>
      <c r="Q11" t="s">
        <v>106</v>
      </c>
      <c r="R11">
        <v>0</v>
      </c>
      <c r="S11">
        <v>0</v>
      </c>
      <c r="U11">
        <f t="shared" si="1"/>
        <v>0</v>
      </c>
    </row>
    <row r="12" spans="1:21" x14ac:dyDescent="0.3">
      <c r="A12" t="s">
        <v>112</v>
      </c>
      <c r="B12">
        <f t="shared" si="0"/>
        <v>1</v>
      </c>
      <c r="Q12" t="s">
        <v>107</v>
      </c>
      <c r="R12">
        <v>0</v>
      </c>
      <c r="S12">
        <v>0</v>
      </c>
      <c r="U12">
        <f t="shared" si="1"/>
        <v>0</v>
      </c>
    </row>
    <row r="13" spans="1:21" x14ac:dyDescent="0.3">
      <c r="A13" t="s">
        <v>116</v>
      </c>
      <c r="B13">
        <f t="shared" si="0"/>
        <v>0</v>
      </c>
      <c r="Q13" t="s">
        <v>108</v>
      </c>
      <c r="R13">
        <v>0</v>
      </c>
      <c r="S13">
        <v>0</v>
      </c>
      <c r="U13">
        <f t="shared" si="1"/>
        <v>0</v>
      </c>
    </row>
    <row r="14" spans="1:21" x14ac:dyDescent="0.3">
      <c r="A14" t="s">
        <v>109</v>
      </c>
      <c r="B14">
        <f t="shared" si="0"/>
        <v>0</v>
      </c>
      <c r="Q14" t="s">
        <v>109</v>
      </c>
      <c r="R14">
        <v>0</v>
      </c>
      <c r="S14">
        <v>0</v>
      </c>
      <c r="U14">
        <f t="shared" si="1"/>
        <v>0</v>
      </c>
    </row>
    <row r="15" spans="1:21" x14ac:dyDescent="0.3">
      <c r="A15" t="s">
        <v>108</v>
      </c>
      <c r="B15">
        <f t="shared" si="0"/>
        <v>0</v>
      </c>
      <c r="Q15" t="s">
        <v>110</v>
      </c>
      <c r="R15">
        <v>1</v>
      </c>
      <c r="S15">
        <v>0</v>
      </c>
      <c r="U15">
        <f t="shared" si="1"/>
        <v>1</v>
      </c>
    </row>
    <row r="16" spans="1:21" x14ac:dyDescent="0.3">
      <c r="A16" t="s">
        <v>113</v>
      </c>
      <c r="B16">
        <f t="shared" si="0"/>
        <v>0</v>
      </c>
      <c r="Q16" t="s">
        <v>111</v>
      </c>
      <c r="R16">
        <v>0</v>
      </c>
      <c r="S16">
        <v>2</v>
      </c>
      <c r="U16">
        <f t="shared" si="1"/>
        <v>2</v>
      </c>
    </row>
    <row r="17" spans="1:21" x14ac:dyDescent="0.3">
      <c r="A17" t="s">
        <v>125</v>
      </c>
      <c r="B17">
        <f t="shared" si="0"/>
        <v>0</v>
      </c>
      <c r="Q17" t="s">
        <v>112</v>
      </c>
      <c r="R17">
        <v>1</v>
      </c>
      <c r="S17">
        <v>0</v>
      </c>
      <c r="U17">
        <f t="shared" si="1"/>
        <v>1</v>
      </c>
    </row>
    <row r="18" spans="1:21" x14ac:dyDescent="0.3">
      <c r="A18" t="s">
        <v>114</v>
      </c>
      <c r="B18">
        <f t="shared" si="0"/>
        <v>0</v>
      </c>
      <c r="Q18" t="s">
        <v>113</v>
      </c>
      <c r="R18">
        <v>0</v>
      </c>
      <c r="S18">
        <v>0</v>
      </c>
      <c r="U18">
        <f t="shared" si="1"/>
        <v>0</v>
      </c>
    </row>
    <row r="19" spans="1:21" x14ac:dyDescent="0.3">
      <c r="A19" t="s">
        <v>115</v>
      </c>
      <c r="B19">
        <f t="shared" si="0"/>
        <v>0</v>
      </c>
      <c r="Q19" t="s">
        <v>114</v>
      </c>
      <c r="R19">
        <v>0</v>
      </c>
      <c r="S19">
        <v>0</v>
      </c>
      <c r="U19">
        <f t="shared" si="1"/>
        <v>0</v>
      </c>
    </row>
    <row r="20" spans="1:21" x14ac:dyDescent="0.3">
      <c r="A20" t="s">
        <v>107</v>
      </c>
      <c r="B20">
        <f t="shared" si="0"/>
        <v>0</v>
      </c>
      <c r="Q20" t="s">
        <v>115</v>
      </c>
      <c r="R20">
        <v>0</v>
      </c>
      <c r="S20">
        <v>0</v>
      </c>
      <c r="U20">
        <f t="shared" si="1"/>
        <v>0</v>
      </c>
    </row>
    <row r="21" spans="1:21" x14ac:dyDescent="0.3">
      <c r="A21" t="s">
        <v>123</v>
      </c>
      <c r="B21">
        <f t="shared" si="0"/>
        <v>0</v>
      </c>
      <c r="Q21" t="s">
        <v>116</v>
      </c>
      <c r="R21">
        <v>0</v>
      </c>
      <c r="S21">
        <v>0</v>
      </c>
      <c r="U21">
        <f t="shared" si="1"/>
        <v>0</v>
      </c>
    </row>
    <row r="22" spans="1:21" x14ac:dyDescent="0.3">
      <c r="A22" t="s">
        <v>101</v>
      </c>
      <c r="B22">
        <f t="shared" si="0"/>
        <v>0</v>
      </c>
      <c r="Q22" t="s">
        <v>117</v>
      </c>
      <c r="R22">
        <v>0</v>
      </c>
      <c r="S22">
        <v>0</v>
      </c>
      <c r="U22">
        <f t="shared" si="1"/>
        <v>0</v>
      </c>
    </row>
    <row r="23" spans="1:21" x14ac:dyDescent="0.3">
      <c r="A23" t="s">
        <v>102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117</v>
      </c>
      <c r="B24">
        <f t="shared" si="0"/>
        <v>0</v>
      </c>
      <c r="Q24" t="s">
        <v>119</v>
      </c>
      <c r="R24">
        <v>0</v>
      </c>
      <c r="S24">
        <v>0</v>
      </c>
      <c r="U24">
        <f t="shared" si="1"/>
        <v>0</v>
      </c>
    </row>
    <row r="25" spans="1:21" x14ac:dyDescent="0.3">
      <c r="A25" t="s">
        <v>106</v>
      </c>
      <c r="B25">
        <f t="shared" si="0"/>
        <v>0</v>
      </c>
      <c r="Q25" t="s">
        <v>122</v>
      </c>
      <c r="R25">
        <v>0</v>
      </c>
      <c r="S25">
        <v>0</v>
      </c>
      <c r="U25">
        <f t="shared" si="1"/>
        <v>0</v>
      </c>
    </row>
    <row r="26" spans="1:21" x14ac:dyDescent="0.3">
      <c r="A26" t="s">
        <v>118</v>
      </c>
      <c r="B26">
        <f t="shared" si="0"/>
        <v>0</v>
      </c>
      <c r="Q26" t="s">
        <v>123</v>
      </c>
      <c r="R26">
        <v>0</v>
      </c>
      <c r="S26">
        <v>0</v>
      </c>
      <c r="U26">
        <f t="shared" si="1"/>
        <v>0</v>
      </c>
    </row>
    <row r="27" spans="1:21" x14ac:dyDescent="0.3">
      <c r="A27" t="s">
        <v>119</v>
      </c>
      <c r="B27">
        <f t="shared" si="0"/>
        <v>0</v>
      </c>
      <c r="Q27" t="s">
        <v>125</v>
      </c>
      <c r="R27">
        <v>0</v>
      </c>
      <c r="S27">
        <v>0</v>
      </c>
      <c r="U27">
        <f t="shared" si="1"/>
        <v>0</v>
      </c>
    </row>
    <row r="28" spans="1:21" x14ac:dyDescent="0.3">
      <c r="A28" t="s">
        <v>122</v>
      </c>
      <c r="B28">
        <f t="shared" si="0"/>
        <v>0</v>
      </c>
      <c r="Q28" t="s">
        <v>96</v>
      </c>
      <c r="R28">
        <v>0</v>
      </c>
      <c r="S28">
        <v>0</v>
      </c>
      <c r="T28">
        <v>27</v>
      </c>
      <c r="U28">
        <f t="shared" si="1"/>
        <v>27</v>
      </c>
    </row>
    <row r="30" spans="1:21" x14ac:dyDescent="0.3">
      <c r="R30">
        <f>SUM(R2:R28)</f>
        <v>33</v>
      </c>
      <c r="S30">
        <f>SUM(S2:S28)</f>
        <v>8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E503-DE31-4698-A514-7BA6C057B861}">
  <dimension ref="A1:U30"/>
  <sheetViews>
    <sheetView topLeftCell="A28" zoomScaleNormal="100" workbookViewId="0">
      <selection activeCell="N54" sqref="N54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39</v>
      </c>
      <c r="Q2" t="s">
        <v>97</v>
      </c>
      <c r="R2">
        <v>0</v>
      </c>
      <c r="S2">
        <v>1</v>
      </c>
      <c r="U2">
        <f>R2+S2+T2</f>
        <v>1</v>
      </c>
    </row>
    <row r="3" spans="1:21" x14ac:dyDescent="0.3">
      <c r="A3" t="s">
        <v>98</v>
      </c>
      <c r="B3">
        <f t="shared" si="0"/>
        <v>7</v>
      </c>
      <c r="Q3" t="s">
        <v>98</v>
      </c>
      <c r="R3">
        <v>7</v>
      </c>
      <c r="S3">
        <v>0</v>
      </c>
      <c r="U3">
        <f t="shared" ref="U3:U28" si="1">R3+S3+T3</f>
        <v>7</v>
      </c>
    </row>
    <row r="4" spans="1:21" x14ac:dyDescent="0.3">
      <c r="A4" t="s">
        <v>103</v>
      </c>
      <c r="B4">
        <f t="shared" si="0"/>
        <v>5</v>
      </c>
      <c r="Q4" t="s">
        <v>99</v>
      </c>
      <c r="R4">
        <v>2</v>
      </c>
      <c r="S4">
        <v>0</v>
      </c>
      <c r="U4">
        <f t="shared" si="1"/>
        <v>2</v>
      </c>
    </row>
    <row r="5" spans="1:21" x14ac:dyDescent="0.3">
      <c r="A5" t="s">
        <v>105</v>
      </c>
      <c r="B5">
        <f t="shared" si="0"/>
        <v>4</v>
      </c>
      <c r="Q5" t="s">
        <v>100</v>
      </c>
      <c r="R5">
        <v>3</v>
      </c>
      <c r="S5">
        <v>0</v>
      </c>
      <c r="U5">
        <f t="shared" si="1"/>
        <v>3</v>
      </c>
    </row>
    <row r="6" spans="1:21" x14ac:dyDescent="0.3">
      <c r="A6" t="s">
        <v>100</v>
      </c>
      <c r="B6">
        <f t="shared" si="0"/>
        <v>3</v>
      </c>
      <c r="Q6" t="s">
        <v>101</v>
      </c>
      <c r="R6">
        <v>0</v>
      </c>
      <c r="S6">
        <v>0</v>
      </c>
      <c r="U6">
        <f t="shared" si="1"/>
        <v>0</v>
      </c>
    </row>
    <row r="7" spans="1:21" x14ac:dyDescent="0.3">
      <c r="A7" t="s">
        <v>104</v>
      </c>
      <c r="B7">
        <f t="shared" si="0"/>
        <v>3</v>
      </c>
      <c r="Q7" t="s">
        <v>102</v>
      </c>
      <c r="R7">
        <v>0</v>
      </c>
      <c r="S7">
        <v>0</v>
      </c>
      <c r="U7">
        <f t="shared" si="1"/>
        <v>0</v>
      </c>
    </row>
    <row r="8" spans="1:21" x14ac:dyDescent="0.3">
      <c r="A8" t="s">
        <v>109</v>
      </c>
      <c r="B8">
        <f t="shared" si="0"/>
        <v>3</v>
      </c>
      <c r="Q8" t="s">
        <v>103</v>
      </c>
      <c r="R8">
        <v>5</v>
      </c>
      <c r="S8">
        <v>0</v>
      </c>
      <c r="U8">
        <f t="shared" si="1"/>
        <v>5</v>
      </c>
    </row>
    <row r="9" spans="1:21" x14ac:dyDescent="0.3">
      <c r="A9" t="s">
        <v>99</v>
      </c>
      <c r="B9">
        <f t="shared" si="0"/>
        <v>2</v>
      </c>
      <c r="Q9" t="s">
        <v>104</v>
      </c>
      <c r="R9">
        <v>3</v>
      </c>
      <c r="S9">
        <v>0</v>
      </c>
      <c r="U9">
        <f t="shared" si="1"/>
        <v>3</v>
      </c>
    </row>
    <row r="10" spans="1:21" x14ac:dyDescent="0.3">
      <c r="A10" t="s">
        <v>112</v>
      </c>
      <c r="B10">
        <f t="shared" si="0"/>
        <v>2</v>
      </c>
      <c r="Q10" t="s">
        <v>105</v>
      </c>
      <c r="R10">
        <v>4</v>
      </c>
      <c r="S10">
        <v>0</v>
      </c>
      <c r="U10">
        <f t="shared" si="1"/>
        <v>4</v>
      </c>
    </row>
    <row r="11" spans="1:21" x14ac:dyDescent="0.3">
      <c r="A11" t="s">
        <v>113</v>
      </c>
      <c r="B11">
        <f t="shared" si="0"/>
        <v>2</v>
      </c>
      <c r="Q11" t="s">
        <v>106</v>
      </c>
      <c r="R11">
        <v>1</v>
      </c>
      <c r="S11">
        <v>0</v>
      </c>
      <c r="U11">
        <f t="shared" si="1"/>
        <v>1</v>
      </c>
    </row>
    <row r="12" spans="1:21" x14ac:dyDescent="0.3">
      <c r="A12" t="s">
        <v>107</v>
      </c>
      <c r="B12">
        <f t="shared" si="0"/>
        <v>2</v>
      </c>
      <c r="Q12" t="s">
        <v>107</v>
      </c>
      <c r="R12">
        <v>2</v>
      </c>
      <c r="S12">
        <v>0</v>
      </c>
      <c r="U12">
        <f t="shared" si="1"/>
        <v>2</v>
      </c>
    </row>
    <row r="13" spans="1:21" x14ac:dyDescent="0.3">
      <c r="A13" t="s">
        <v>97</v>
      </c>
      <c r="B13">
        <f t="shared" si="0"/>
        <v>1</v>
      </c>
      <c r="Q13" t="s">
        <v>108</v>
      </c>
      <c r="R13">
        <v>0</v>
      </c>
      <c r="S13">
        <v>0</v>
      </c>
      <c r="U13">
        <f t="shared" si="1"/>
        <v>0</v>
      </c>
    </row>
    <row r="14" spans="1:21" x14ac:dyDescent="0.3">
      <c r="A14" t="s">
        <v>111</v>
      </c>
      <c r="B14">
        <f t="shared" si="0"/>
        <v>1</v>
      </c>
      <c r="Q14" t="s">
        <v>109</v>
      </c>
      <c r="R14">
        <v>2</v>
      </c>
      <c r="S14">
        <v>1</v>
      </c>
      <c r="U14">
        <f t="shared" si="1"/>
        <v>3</v>
      </c>
    </row>
    <row r="15" spans="1:21" x14ac:dyDescent="0.3">
      <c r="A15" t="s">
        <v>110</v>
      </c>
      <c r="B15">
        <f t="shared" si="0"/>
        <v>1</v>
      </c>
      <c r="Q15" t="s">
        <v>110</v>
      </c>
      <c r="R15">
        <v>1</v>
      </c>
      <c r="S15">
        <v>0</v>
      </c>
      <c r="U15">
        <f t="shared" si="1"/>
        <v>1</v>
      </c>
    </row>
    <row r="16" spans="1:21" x14ac:dyDescent="0.3">
      <c r="A16" t="s">
        <v>117</v>
      </c>
      <c r="B16">
        <f t="shared" si="0"/>
        <v>1</v>
      </c>
      <c r="Q16" t="s">
        <v>111</v>
      </c>
      <c r="R16">
        <v>1</v>
      </c>
      <c r="S16">
        <v>0</v>
      </c>
      <c r="U16">
        <f t="shared" si="1"/>
        <v>1</v>
      </c>
    </row>
    <row r="17" spans="1:21" x14ac:dyDescent="0.3">
      <c r="A17" t="s">
        <v>106</v>
      </c>
      <c r="B17">
        <f t="shared" si="0"/>
        <v>1</v>
      </c>
      <c r="Q17" t="s">
        <v>112</v>
      </c>
      <c r="R17">
        <v>2</v>
      </c>
      <c r="S17">
        <v>0</v>
      </c>
      <c r="U17">
        <f t="shared" si="1"/>
        <v>2</v>
      </c>
    </row>
    <row r="18" spans="1:21" x14ac:dyDescent="0.3">
      <c r="A18" t="s">
        <v>116</v>
      </c>
      <c r="B18">
        <f t="shared" si="0"/>
        <v>0</v>
      </c>
      <c r="Q18" t="s">
        <v>113</v>
      </c>
      <c r="R18">
        <v>0</v>
      </c>
      <c r="S18">
        <v>2</v>
      </c>
      <c r="U18">
        <f t="shared" si="1"/>
        <v>2</v>
      </c>
    </row>
    <row r="19" spans="1:21" x14ac:dyDescent="0.3">
      <c r="A19" t="s">
        <v>108</v>
      </c>
      <c r="B19">
        <f t="shared" si="0"/>
        <v>0</v>
      </c>
      <c r="Q19" t="s">
        <v>114</v>
      </c>
      <c r="R19">
        <v>0</v>
      </c>
      <c r="S19">
        <v>0</v>
      </c>
      <c r="U19">
        <f t="shared" si="1"/>
        <v>0</v>
      </c>
    </row>
    <row r="20" spans="1:21" x14ac:dyDescent="0.3">
      <c r="A20" t="s">
        <v>125</v>
      </c>
      <c r="B20">
        <f t="shared" si="0"/>
        <v>0</v>
      </c>
      <c r="Q20" t="s">
        <v>115</v>
      </c>
      <c r="R20">
        <v>0</v>
      </c>
      <c r="S20">
        <v>0</v>
      </c>
      <c r="U20">
        <f t="shared" si="1"/>
        <v>0</v>
      </c>
    </row>
    <row r="21" spans="1:21" x14ac:dyDescent="0.3">
      <c r="A21" t="s">
        <v>114</v>
      </c>
      <c r="B21">
        <f t="shared" si="0"/>
        <v>0</v>
      </c>
      <c r="Q21" t="s">
        <v>116</v>
      </c>
      <c r="R21">
        <v>0</v>
      </c>
      <c r="S21">
        <v>0</v>
      </c>
      <c r="U21">
        <f t="shared" si="1"/>
        <v>0</v>
      </c>
    </row>
    <row r="22" spans="1:21" x14ac:dyDescent="0.3">
      <c r="A22" t="s">
        <v>115</v>
      </c>
      <c r="B22">
        <f t="shared" si="0"/>
        <v>0</v>
      </c>
      <c r="Q22" t="s">
        <v>117</v>
      </c>
      <c r="R22">
        <v>1</v>
      </c>
      <c r="S22">
        <v>0</v>
      </c>
      <c r="U22">
        <f t="shared" si="1"/>
        <v>1</v>
      </c>
    </row>
    <row r="23" spans="1:21" x14ac:dyDescent="0.3">
      <c r="A23" t="s">
        <v>123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101</v>
      </c>
      <c r="B24">
        <f t="shared" si="0"/>
        <v>0</v>
      </c>
      <c r="Q24" t="s">
        <v>119</v>
      </c>
      <c r="R24">
        <v>0</v>
      </c>
      <c r="S24">
        <v>0</v>
      </c>
      <c r="U24">
        <f t="shared" si="1"/>
        <v>0</v>
      </c>
    </row>
    <row r="25" spans="1:21" x14ac:dyDescent="0.3">
      <c r="A25" t="s">
        <v>102</v>
      </c>
      <c r="B25">
        <f t="shared" si="0"/>
        <v>0</v>
      </c>
      <c r="Q25" t="s">
        <v>122</v>
      </c>
      <c r="R25">
        <v>0</v>
      </c>
      <c r="S25">
        <v>0</v>
      </c>
      <c r="U25">
        <f t="shared" si="1"/>
        <v>0</v>
      </c>
    </row>
    <row r="26" spans="1:21" x14ac:dyDescent="0.3">
      <c r="A26" t="s">
        <v>118</v>
      </c>
      <c r="B26">
        <f t="shared" si="0"/>
        <v>0</v>
      </c>
      <c r="Q26" t="s">
        <v>123</v>
      </c>
      <c r="R26">
        <v>0</v>
      </c>
      <c r="S26">
        <v>0</v>
      </c>
      <c r="U26">
        <f t="shared" si="1"/>
        <v>0</v>
      </c>
    </row>
    <row r="27" spans="1:21" x14ac:dyDescent="0.3">
      <c r="A27" t="s">
        <v>119</v>
      </c>
      <c r="B27">
        <f t="shared" si="0"/>
        <v>0</v>
      </c>
      <c r="Q27" t="s">
        <v>125</v>
      </c>
      <c r="R27">
        <v>0</v>
      </c>
      <c r="S27">
        <v>0</v>
      </c>
      <c r="U27">
        <f t="shared" si="1"/>
        <v>0</v>
      </c>
    </row>
    <row r="28" spans="1:21" x14ac:dyDescent="0.3">
      <c r="A28" t="s">
        <v>122</v>
      </c>
      <c r="B28">
        <f t="shared" si="0"/>
        <v>0</v>
      </c>
      <c r="Q28" t="s">
        <v>96</v>
      </c>
      <c r="R28">
        <v>0</v>
      </c>
      <c r="S28">
        <v>0</v>
      </c>
      <c r="T28">
        <v>39</v>
      </c>
      <c r="U28">
        <f t="shared" si="1"/>
        <v>39</v>
      </c>
    </row>
    <row r="30" spans="1:21" x14ac:dyDescent="0.3">
      <c r="R30">
        <f>SUM(R2:R28)</f>
        <v>34</v>
      </c>
      <c r="S30">
        <f>SUM(S2:S28)</f>
        <v>4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8EA5C-BF6C-4E3D-B867-746C78B4E916}">
  <dimension ref="A1:U30"/>
  <sheetViews>
    <sheetView topLeftCell="A28" zoomScaleNormal="100" workbookViewId="0">
      <selection activeCell="P47" sqref="P47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38</v>
      </c>
      <c r="Q2" t="s">
        <v>97</v>
      </c>
      <c r="R2">
        <v>3</v>
      </c>
      <c r="S2">
        <v>0</v>
      </c>
      <c r="U2">
        <f>R2+S2+T2</f>
        <v>3</v>
      </c>
    </row>
    <row r="3" spans="1:21" x14ac:dyDescent="0.3">
      <c r="A3" t="s">
        <v>100</v>
      </c>
      <c r="B3">
        <f t="shared" si="0"/>
        <v>13</v>
      </c>
      <c r="Q3" t="s">
        <v>98</v>
      </c>
      <c r="R3">
        <v>5</v>
      </c>
      <c r="S3">
        <v>4</v>
      </c>
      <c r="U3">
        <f t="shared" ref="U3:U28" si="1">R3+S3+T3</f>
        <v>9</v>
      </c>
    </row>
    <row r="4" spans="1:21" x14ac:dyDescent="0.3">
      <c r="A4" t="s">
        <v>105</v>
      </c>
      <c r="B4">
        <f t="shared" si="0"/>
        <v>11</v>
      </c>
      <c r="Q4" t="s">
        <v>99</v>
      </c>
      <c r="R4">
        <v>4</v>
      </c>
      <c r="S4">
        <v>0</v>
      </c>
      <c r="U4">
        <f t="shared" si="1"/>
        <v>4</v>
      </c>
    </row>
    <row r="5" spans="1:21" x14ac:dyDescent="0.3">
      <c r="A5" t="s">
        <v>98</v>
      </c>
      <c r="B5">
        <f t="shared" si="0"/>
        <v>9</v>
      </c>
      <c r="Q5" t="s">
        <v>100</v>
      </c>
      <c r="R5">
        <v>3</v>
      </c>
      <c r="S5">
        <v>10</v>
      </c>
      <c r="U5">
        <f t="shared" si="1"/>
        <v>13</v>
      </c>
    </row>
    <row r="6" spans="1:21" x14ac:dyDescent="0.3">
      <c r="A6" t="s">
        <v>123</v>
      </c>
      <c r="B6">
        <f t="shared" si="0"/>
        <v>8</v>
      </c>
      <c r="Q6" t="s">
        <v>101</v>
      </c>
      <c r="R6">
        <v>0</v>
      </c>
      <c r="S6">
        <v>0</v>
      </c>
      <c r="U6">
        <f t="shared" si="1"/>
        <v>0</v>
      </c>
    </row>
    <row r="7" spans="1:21" x14ac:dyDescent="0.3">
      <c r="A7" t="s">
        <v>107</v>
      </c>
      <c r="B7">
        <f t="shared" si="0"/>
        <v>6</v>
      </c>
      <c r="Q7" t="s">
        <v>102</v>
      </c>
      <c r="R7">
        <v>0</v>
      </c>
      <c r="S7">
        <v>0</v>
      </c>
      <c r="U7">
        <f t="shared" si="1"/>
        <v>0</v>
      </c>
    </row>
    <row r="8" spans="1:21" x14ac:dyDescent="0.3">
      <c r="A8" t="s">
        <v>104</v>
      </c>
      <c r="B8">
        <f t="shared" si="0"/>
        <v>5</v>
      </c>
      <c r="Q8" t="s">
        <v>103</v>
      </c>
      <c r="R8">
        <v>3</v>
      </c>
      <c r="S8">
        <v>1</v>
      </c>
      <c r="U8">
        <f t="shared" si="1"/>
        <v>4</v>
      </c>
    </row>
    <row r="9" spans="1:21" x14ac:dyDescent="0.3">
      <c r="A9" t="s">
        <v>122</v>
      </c>
      <c r="B9">
        <f t="shared" si="0"/>
        <v>5</v>
      </c>
      <c r="Q9" t="s">
        <v>104</v>
      </c>
      <c r="R9">
        <v>4</v>
      </c>
      <c r="S9">
        <v>1</v>
      </c>
      <c r="U9">
        <f t="shared" si="1"/>
        <v>5</v>
      </c>
    </row>
    <row r="10" spans="1:21" x14ac:dyDescent="0.3">
      <c r="A10" t="s">
        <v>103</v>
      </c>
      <c r="B10">
        <f t="shared" si="0"/>
        <v>4</v>
      </c>
      <c r="Q10" t="s">
        <v>105</v>
      </c>
      <c r="R10">
        <v>11</v>
      </c>
      <c r="S10">
        <v>0</v>
      </c>
      <c r="U10">
        <f t="shared" si="1"/>
        <v>11</v>
      </c>
    </row>
    <row r="11" spans="1:21" x14ac:dyDescent="0.3">
      <c r="A11" t="s">
        <v>109</v>
      </c>
      <c r="B11">
        <f t="shared" si="0"/>
        <v>4</v>
      </c>
      <c r="Q11" t="s">
        <v>106</v>
      </c>
      <c r="R11">
        <v>0</v>
      </c>
      <c r="S11">
        <v>0</v>
      </c>
      <c r="U11">
        <f t="shared" si="1"/>
        <v>0</v>
      </c>
    </row>
    <row r="12" spans="1:21" x14ac:dyDescent="0.3">
      <c r="A12" t="s">
        <v>99</v>
      </c>
      <c r="B12">
        <f t="shared" si="0"/>
        <v>4</v>
      </c>
      <c r="Q12" t="s">
        <v>107</v>
      </c>
      <c r="R12">
        <v>6</v>
      </c>
      <c r="S12">
        <v>0</v>
      </c>
      <c r="U12">
        <f t="shared" si="1"/>
        <v>6</v>
      </c>
    </row>
    <row r="13" spans="1:21" x14ac:dyDescent="0.3">
      <c r="A13" t="s">
        <v>113</v>
      </c>
      <c r="B13">
        <f t="shared" si="0"/>
        <v>4</v>
      </c>
      <c r="Q13" t="s">
        <v>108</v>
      </c>
      <c r="R13">
        <v>0</v>
      </c>
      <c r="S13">
        <v>0</v>
      </c>
      <c r="U13">
        <f t="shared" si="1"/>
        <v>0</v>
      </c>
    </row>
    <row r="14" spans="1:21" x14ac:dyDescent="0.3">
      <c r="A14" t="s">
        <v>97</v>
      </c>
      <c r="B14">
        <f t="shared" si="0"/>
        <v>3</v>
      </c>
      <c r="Q14" t="s">
        <v>109</v>
      </c>
      <c r="R14">
        <v>4</v>
      </c>
      <c r="S14">
        <v>0</v>
      </c>
      <c r="U14">
        <f t="shared" si="1"/>
        <v>4</v>
      </c>
    </row>
    <row r="15" spans="1:21" x14ac:dyDescent="0.3">
      <c r="A15" t="s">
        <v>110</v>
      </c>
      <c r="B15">
        <f t="shared" si="0"/>
        <v>3</v>
      </c>
      <c r="Q15" t="s">
        <v>110</v>
      </c>
      <c r="R15">
        <v>3</v>
      </c>
      <c r="S15">
        <v>0</v>
      </c>
      <c r="U15">
        <f t="shared" si="1"/>
        <v>3</v>
      </c>
    </row>
    <row r="16" spans="1:21" x14ac:dyDescent="0.3">
      <c r="A16" t="s">
        <v>111</v>
      </c>
      <c r="B16">
        <f t="shared" si="0"/>
        <v>1</v>
      </c>
      <c r="Q16" t="s">
        <v>111</v>
      </c>
      <c r="R16">
        <v>1</v>
      </c>
      <c r="S16">
        <v>0</v>
      </c>
      <c r="U16">
        <f t="shared" si="1"/>
        <v>1</v>
      </c>
    </row>
    <row r="17" spans="1:21" x14ac:dyDescent="0.3">
      <c r="A17" t="s">
        <v>116</v>
      </c>
      <c r="B17">
        <f t="shared" si="0"/>
        <v>1</v>
      </c>
      <c r="Q17" t="s">
        <v>112</v>
      </c>
      <c r="R17">
        <v>0</v>
      </c>
      <c r="S17">
        <v>0</v>
      </c>
      <c r="U17">
        <f t="shared" si="1"/>
        <v>0</v>
      </c>
    </row>
    <row r="18" spans="1:21" x14ac:dyDescent="0.3">
      <c r="A18" t="s">
        <v>115</v>
      </c>
      <c r="B18">
        <f t="shared" si="0"/>
        <v>1</v>
      </c>
      <c r="Q18" t="s">
        <v>113</v>
      </c>
      <c r="R18">
        <v>1</v>
      </c>
      <c r="S18">
        <v>3</v>
      </c>
      <c r="U18">
        <f t="shared" si="1"/>
        <v>4</v>
      </c>
    </row>
    <row r="19" spans="1:21" x14ac:dyDescent="0.3">
      <c r="A19" t="s">
        <v>112</v>
      </c>
      <c r="B19">
        <f t="shared" si="0"/>
        <v>0</v>
      </c>
      <c r="Q19" t="s">
        <v>114</v>
      </c>
      <c r="R19">
        <v>0</v>
      </c>
      <c r="S19">
        <v>0</v>
      </c>
      <c r="U19">
        <f t="shared" si="1"/>
        <v>0</v>
      </c>
    </row>
    <row r="20" spans="1:21" x14ac:dyDescent="0.3">
      <c r="A20" t="s">
        <v>117</v>
      </c>
      <c r="B20">
        <f t="shared" si="0"/>
        <v>0</v>
      </c>
      <c r="Q20" t="s">
        <v>115</v>
      </c>
      <c r="R20">
        <v>0</v>
      </c>
      <c r="S20">
        <v>1</v>
      </c>
      <c r="U20">
        <f t="shared" si="1"/>
        <v>1</v>
      </c>
    </row>
    <row r="21" spans="1:21" x14ac:dyDescent="0.3">
      <c r="A21" t="s">
        <v>106</v>
      </c>
      <c r="B21">
        <f t="shared" si="0"/>
        <v>0</v>
      </c>
      <c r="Q21" t="s">
        <v>116</v>
      </c>
      <c r="R21">
        <v>1</v>
      </c>
      <c r="S21">
        <v>0</v>
      </c>
      <c r="U21">
        <f t="shared" si="1"/>
        <v>1</v>
      </c>
    </row>
    <row r="22" spans="1:21" x14ac:dyDescent="0.3">
      <c r="A22" t="s">
        <v>108</v>
      </c>
      <c r="B22">
        <f t="shared" si="0"/>
        <v>0</v>
      </c>
      <c r="Q22" t="s">
        <v>117</v>
      </c>
      <c r="R22">
        <v>0</v>
      </c>
      <c r="S22">
        <v>0</v>
      </c>
      <c r="U22">
        <f t="shared" si="1"/>
        <v>0</v>
      </c>
    </row>
    <row r="23" spans="1:21" x14ac:dyDescent="0.3">
      <c r="A23" t="s">
        <v>125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114</v>
      </c>
      <c r="B24">
        <f t="shared" si="0"/>
        <v>0</v>
      </c>
      <c r="Q24" t="s">
        <v>119</v>
      </c>
      <c r="R24">
        <v>0</v>
      </c>
      <c r="S24">
        <v>0</v>
      </c>
      <c r="U24">
        <f t="shared" si="1"/>
        <v>0</v>
      </c>
    </row>
    <row r="25" spans="1:21" x14ac:dyDescent="0.3">
      <c r="A25" t="s">
        <v>101</v>
      </c>
      <c r="B25">
        <f t="shared" si="0"/>
        <v>0</v>
      </c>
      <c r="Q25" t="s">
        <v>122</v>
      </c>
      <c r="R25">
        <v>0</v>
      </c>
      <c r="S25">
        <v>5</v>
      </c>
      <c r="U25">
        <f t="shared" si="1"/>
        <v>5</v>
      </c>
    </row>
    <row r="26" spans="1:21" x14ac:dyDescent="0.3">
      <c r="A26" t="s">
        <v>102</v>
      </c>
      <c r="B26">
        <f t="shared" si="0"/>
        <v>0</v>
      </c>
      <c r="Q26" t="s">
        <v>123</v>
      </c>
      <c r="R26">
        <v>0</v>
      </c>
      <c r="S26">
        <v>8</v>
      </c>
      <c r="U26">
        <f t="shared" si="1"/>
        <v>8</v>
      </c>
    </row>
    <row r="27" spans="1:21" x14ac:dyDescent="0.3">
      <c r="A27" t="s">
        <v>118</v>
      </c>
      <c r="B27">
        <f t="shared" si="0"/>
        <v>0</v>
      </c>
      <c r="Q27" t="s">
        <v>125</v>
      </c>
      <c r="R27">
        <v>0</v>
      </c>
      <c r="S27">
        <v>0</v>
      </c>
      <c r="U27">
        <f t="shared" si="1"/>
        <v>0</v>
      </c>
    </row>
    <row r="28" spans="1:21" x14ac:dyDescent="0.3">
      <c r="A28" t="s">
        <v>119</v>
      </c>
      <c r="B28">
        <f t="shared" si="0"/>
        <v>0</v>
      </c>
      <c r="Q28" t="s">
        <v>96</v>
      </c>
      <c r="R28">
        <v>0</v>
      </c>
      <c r="S28">
        <v>0</v>
      </c>
      <c r="T28">
        <v>38</v>
      </c>
      <c r="U28">
        <f t="shared" si="1"/>
        <v>38</v>
      </c>
    </row>
    <row r="30" spans="1:21" x14ac:dyDescent="0.3">
      <c r="R30">
        <f>SUM(R2:R28)</f>
        <v>49</v>
      </c>
      <c r="S30">
        <f>SUM(S2:S28)</f>
        <v>33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22FE-C86B-4372-9571-2918DC3AEDF0}">
  <dimension ref="A1:U30"/>
  <sheetViews>
    <sheetView topLeftCell="A46" zoomScaleNormal="100" workbookViewId="0">
      <selection activeCell="N60" sqref="N60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44</v>
      </c>
      <c r="Q2" t="s">
        <v>97</v>
      </c>
      <c r="R2">
        <v>3</v>
      </c>
      <c r="S2">
        <v>0</v>
      </c>
      <c r="U2">
        <f>R2+S2+T2</f>
        <v>3</v>
      </c>
    </row>
    <row r="3" spans="1:21" x14ac:dyDescent="0.3">
      <c r="A3" t="s">
        <v>98</v>
      </c>
      <c r="B3">
        <f t="shared" si="0"/>
        <v>9</v>
      </c>
      <c r="Q3" t="s">
        <v>98</v>
      </c>
      <c r="R3">
        <v>8</v>
      </c>
      <c r="S3">
        <v>1</v>
      </c>
      <c r="U3">
        <f t="shared" ref="U3:U28" si="1">R3+S3+T3</f>
        <v>9</v>
      </c>
    </row>
    <row r="4" spans="1:21" x14ac:dyDescent="0.3">
      <c r="A4" t="s">
        <v>99</v>
      </c>
      <c r="B4">
        <f t="shared" si="0"/>
        <v>9</v>
      </c>
      <c r="Q4" t="s">
        <v>99</v>
      </c>
      <c r="R4">
        <v>8</v>
      </c>
      <c r="S4">
        <v>1</v>
      </c>
      <c r="U4">
        <f t="shared" si="1"/>
        <v>9</v>
      </c>
    </row>
    <row r="5" spans="1:21" x14ac:dyDescent="0.3">
      <c r="A5" t="s">
        <v>103</v>
      </c>
      <c r="B5">
        <f t="shared" si="0"/>
        <v>6</v>
      </c>
      <c r="Q5" t="s">
        <v>100</v>
      </c>
      <c r="R5">
        <v>2</v>
      </c>
      <c r="S5">
        <v>0</v>
      </c>
      <c r="U5">
        <f t="shared" si="1"/>
        <v>2</v>
      </c>
    </row>
    <row r="6" spans="1:21" x14ac:dyDescent="0.3">
      <c r="A6" t="s">
        <v>109</v>
      </c>
      <c r="B6">
        <f t="shared" si="0"/>
        <v>6</v>
      </c>
      <c r="Q6" t="s">
        <v>101</v>
      </c>
      <c r="R6">
        <v>0</v>
      </c>
      <c r="S6">
        <v>0</v>
      </c>
      <c r="U6">
        <f t="shared" si="1"/>
        <v>0</v>
      </c>
    </row>
    <row r="7" spans="1:21" x14ac:dyDescent="0.3">
      <c r="A7" t="s">
        <v>105</v>
      </c>
      <c r="B7">
        <f t="shared" si="0"/>
        <v>4</v>
      </c>
      <c r="Q7" t="s">
        <v>102</v>
      </c>
      <c r="R7">
        <v>0</v>
      </c>
      <c r="S7">
        <v>0</v>
      </c>
      <c r="U7">
        <f t="shared" si="1"/>
        <v>0</v>
      </c>
    </row>
    <row r="8" spans="1:21" x14ac:dyDescent="0.3">
      <c r="A8" t="s">
        <v>97</v>
      </c>
      <c r="B8">
        <f t="shared" si="0"/>
        <v>3</v>
      </c>
      <c r="Q8" t="s">
        <v>103</v>
      </c>
      <c r="R8">
        <v>5</v>
      </c>
      <c r="S8">
        <v>1</v>
      </c>
      <c r="U8">
        <f t="shared" si="1"/>
        <v>6</v>
      </c>
    </row>
    <row r="9" spans="1:21" x14ac:dyDescent="0.3">
      <c r="A9" t="s">
        <v>100</v>
      </c>
      <c r="B9">
        <f t="shared" si="0"/>
        <v>2</v>
      </c>
      <c r="Q9" t="s">
        <v>104</v>
      </c>
      <c r="R9">
        <v>1</v>
      </c>
      <c r="S9">
        <v>0</v>
      </c>
      <c r="U9">
        <f t="shared" si="1"/>
        <v>1</v>
      </c>
    </row>
    <row r="10" spans="1:21" x14ac:dyDescent="0.3">
      <c r="A10" t="s">
        <v>116</v>
      </c>
      <c r="B10">
        <f t="shared" si="0"/>
        <v>2</v>
      </c>
      <c r="Q10" t="s">
        <v>105</v>
      </c>
      <c r="R10">
        <v>4</v>
      </c>
      <c r="S10">
        <v>0</v>
      </c>
      <c r="U10">
        <f t="shared" si="1"/>
        <v>4</v>
      </c>
    </row>
    <row r="11" spans="1:21" x14ac:dyDescent="0.3">
      <c r="A11" t="s">
        <v>123</v>
      </c>
      <c r="B11">
        <f t="shared" si="0"/>
        <v>1</v>
      </c>
      <c r="Q11" t="s">
        <v>106</v>
      </c>
      <c r="R11">
        <v>0</v>
      </c>
      <c r="S11">
        <v>0</v>
      </c>
      <c r="U11">
        <f t="shared" si="1"/>
        <v>0</v>
      </c>
    </row>
    <row r="12" spans="1:21" x14ac:dyDescent="0.3">
      <c r="A12" t="s">
        <v>107</v>
      </c>
      <c r="B12">
        <f t="shared" si="0"/>
        <v>1</v>
      </c>
      <c r="Q12" t="s">
        <v>107</v>
      </c>
      <c r="R12">
        <v>1</v>
      </c>
      <c r="S12">
        <v>0</v>
      </c>
      <c r="U12">
        <f t="shared" si="1"/>
        <v>1</v>
      </c>
    </row>
    <row r="13" spans="1:21" x14ac:dyDescent="0.3">
      <c r="A13" t="s">
        <v>104</v>
      </c>
      <c r="B13">
        <f t="shared" si="0"/>
        <v>1</v>
      </c>
      <c r="Q13" t="s">
        <v>108</v>
      </c>
      <c r="R13">
        <v>1</v>
      </c>
      <c r="S13">
        <v>0</v>
      </c>
      <c r="U13">
        <f t="shared" si="1"/>
        <v>1</v>
      </c>
    </row>
    <row r="14" spans="1:21" x14ac:dyDescent="0.3">
      <c r="A14" t="s">
        <v>113</v>
      </c>
      <c r="B14">
        <f t="shared" si="0"/>
        <v>1</v>
      </c>
      <c r="Q14" t="s">
        <v>109</v>
      </c>
      <c r="R14">
        <v>5</v>
      </c>
      <c r="S14">
        <v>1</v>
      </c>
      <c r="U14">
        <f t="shared" si="1"/>
        <v>6</v>
      </c>
    </row>
    <row r="15" spans="1:21" x14ac:dyDescent="0.3">
      <c r="A15" t="s">
        <v>111</v>
      </c>
      <c r="B15">
        <f t="shared" si="0"/>
        <v>1</v>
      </c>
      <c r="Q15" t="s">
        <v>110</v>
      </c>
      <c r="R15">
        <v>0</v>
      </c>
      <c r="S15">
        <v>0</v>
      </c>
      <c r="U15">
        <f t="shared" si="1"/>
        <v>0</v>
      </c>
    </row>
    <row r="16" spans="1:21" x14ac:dyDescent="0.3">
      <c r="A16" t="s">
        <v>112</v>
      </c>
      <c r="B16">
        <f t="shared" si="0"/>
        <v>1</v>
      </c>
      <c r="Q16" t="s">
        <v>111</v>
      </c>
      <c r="R16">
        <v>0</v>
      </c>
      <c r="S16">
        <v>1</v>
      </c>
      <c r="U16">
        <f t="shared" si="1"/>
        <v>1</v>
      </c>
    </row>
    <row r="17" spans="1:21" x14ac:dyDescent="0.3">
      <c r="A17" t="s">
        <v>108</v>
      </c>
      <c r="B17">
        <f t="shared" si="0"/>
        <v>1</v>
      </c>
      <c r="Q17" t="s">
        <v>112</v>
      </c>
      <c r="R17">
        <v>1</v>
      </c>
      <c r="S17">
        <v>0</v>
      </c>
      <c r="U17">
        <f t="shared" si="1"/>
        <v>1</v>
      </c>
    </row>
    <row r="18" spans="1:21" x14ac:dyDescent="0.3">
      <c r="A18" t="s">
        <v>114</v>
      </c>
      <c r="B18">
        <f t="shared" si="0"/>
        <v>1</v>
      </c>
      <c r="Q18" t="s">
        <v>113</v>
      </c>
      <c r="R18">
        <v>0</v>
      </c>
      <c r="S18">
        <v>1</v>
      </c>
      <c r="U18">
        <f t="shared" si="1"/>
        <v>1</v>
      </c>
    </row>
    <row r="19" spans="1:21" x14ac:dyDescent="0.3">
      <c r="A19" t="s">
        <v>119</v>
      </c>
      <c r="B19">
        <f t="shared" si="0"/>
        <v>1</v>
      </c>
      <c r="Q19" t="s">
        <v>114</v>
      </c>
      <c r="R19">
        <v>1</v>
      </c>
      <c r="S19">
        <v>0</v>
      </c>
      <c r="U19">
        <f t="shared" si="1"/>
        <v>1</v>
      </c>
    </row>
    <row r="20" spans="1:21" x14ac:dyDescent="0.3">
      <c r="A20" t="s">
        <v>122</v>
      </c>
      <c r="B20">
        <f t="shared" si="0"/>
        <v>0</v>
      </c>
      <c r="Q20" t="s">
        <v>115</v>
      </c>
      <c r="R20">
        <v>0</v>
      </c>
      <c r="S20">
        <v>0</v>
      </c>
      <c r="U20">
        <f t="shared" si="1"/>
        <v>0</v>
      </c>
    </row>
    <row r="21" spans="1:21" x14ac:dyDescent="0.3">
      <c r="A21" t="s">
        <v>110</v>
      </c>
      <c r="B21">
        <f t="shared" si="0"/>
        <v>0</v>
      </c>
      <c r="Q21" t="s">
        <v>116</v>
      </c>
      <c r="R21">
        <v>2</v>
      </c>
      <c r="S21">
        <v>0</v>
      </c>
      <c r="U21">
        <f t="shared" si="1"/>
        <v>2</v>
      </c>
    </row>
    <row r="22" spans="1:21" x14ac:dyDescent="0.3">
      <c r="A22" t="s">
        <v>115</v>
      </c>
      <c r="B22">
        <f t="shared" si="0"/>
        <v>0</v>
      </c>
      <c r="Q22" t="s">
        <v>117</v>
      </c>
      <c r="R22">
        <v>0</v>
      </c>
      <c r="S22">
        <v>0</v>
      </c>
      <c r="U22">
        <f t="shared" si="1"/>
        <v>0</v>
      </c>
    </row>
    <row r="23" spans="1:21" x14ac:dyDescent="0.3">
      <c r="A23" t="s">
        <v>117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106</v>
      </c>
      <c r="B24">
        <f t="shared" si="0"/>
        <v>0</v>
      </c>
      <c r="Q24" t="s">
        <v>119</v>
      </c>
      <c r="R24">
        <v>1</v>
      </c>
      <c r="S24">
        <v>0</v>
      </c>
      <c r="U24">
        <f t="shared" si="1"/>
        <v>1</v>
      </c>
    </row>
    <row r="25" spans="1:21" x14ac:dyDescent="0.3">
      <c r="A25" t="s">
        <v>125</v>
      </c>
      <c r="B25">
        <f t="shared" si="0"/>
        <v>0</v>
      </c>
      <c r="Q25" t="s">
        <v>122</v>
      </c>
      <c r="R25">
        <v>0</v>
      </c>
      <c r="S25">
        <v>0</v>
      </c>
      <c r="U25">
        <f t="shared" si="1"/>
        <v>0</v>
      </c>
    </row>
    <row r="26" spans="1:21" x14ac:dyDescent="0.3">
      <c r="A26" t="s">
        <v>101</v>
      </c>
      <c r="B26">
        <f t="shared" si="0"/>
        <v>0</v>
      </c>
      <c r="Q26" t="s">
        <v>123</v>
      </c>
      <c r="R26">
        <v>0</v>
      </c>
      <c r="S26">
        <v>1</v>
      </c>
      <c r="U26">
        <f t="shared" si="1"/>
        <v>1</v>
      </c>
    </row>
    <row r="27" spans="1:21" x14ac:dyDescent="0.3">
      <c r="A27" t="s">
        <v>102</v>
      </c>
      <c r="B27">
        <f t="shared" si="0"/>
        <v>0</v>
      </c>
      <c r="Q27" t="s">
        <v>125</v>
      </c>
      <c r="R27">
        <v>0</v>
      </c>
      <c r="S27">
        <v>0</v>
      </c>
      <c r="U27">
        <f t="shared" si="1"/>
        <v>0</v>
      </c>
    </row>
    <row r="28" spans="1:21" x14ac:dyDescent="0.3">
      <c r="A28" t="s">
        <v>118</v>
      </c>
      <c r="B28">
        <f t="shared" si="0"/>
        <v>0</v>
      </c>
      <c r="Q28" t="s">
        <v>96</v>
      </c>
      <c r="T28">
        <v>44</v>
      </c>
      <c r="U28">
        <f t="shared" si="1"/>
        <v>44</v>
      </c>
    </row>
    <row r="30" spans="1:21" x14ac:dyDescent="0.3">
      <c r="R30">
        <f>SUM(R2:R28)</f>
        <v>43</v>
      </c>
      <c r="S30">
        <f>SUM(S2:S28)</f>
        <v>7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01E2-65E0-4DD8-8C4F-BB26E2EB6118}">
  <dimension ref="A1:U30"/>
  <sheetViews>
    <sheetView zoomScaleNormal="100" workbookViewId="0">
      <selection activeCell="N9" sqref="N9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36</v>
      </c>
      <c r="Q2" t="s">
        <v>97</v>
      </c>
      <c r="R2">
        <v>12</v>
      </c>
      <c r="S2">
        <v>0</v>
      </c>
      <c r="U2">
        <f>R2+S2+T2</f>
        <v>12</v>
      </c>
    </row>
    <row r="3" spans="1:21" x14ac:dyDescent="0.3">
      <c r="A3" t="s">
        <v>105</v>
      </c>
      <c r="B3">
        <f t="shared" si="0"/>
        <v>23</v>
      </c>
      <c r="Q3" t="s">
        <v>98</v>
      </c>
      <c r="R3">
        <v>5</v>
      </c>
      <c r="S3">
        <v>0</v>
      </c>
      <c r="U3">
        <f t="shared" ref="U3:U28" si="1">R3+S3+T3</f>
        <v>5</v>
      </c>
    </row>
    <row r="4" spans="1:21" x14ac:dyDescent="0.3">
      <c r="A4" t="s">
        <v>97</v>
      </c>
      <c r="B4">
        <f t="shared" si="0"/>
        <v>12</v>
      </c>
      <c r="Q4" t="s">
        <v>99</v>
      </c>
      <c r="R4">
        <v>4</v>
      </c>
      <c r="S4">
        <v>2</v>
      </c>
      <c r="U4">
        <f t="shared" si="1"/>
        <v>6</v>
      </c>
    </row>
    <row r="5" spans="1:21" x14ac:dyDescent="0.3">
      <c r="A5" t="s">
        <v>99</v>
      </c>
      <c r="B5">
        <f t="shared" si="0"/>
        <v>6</v>
      </c>
      <c r="Q5" t="s">
        <v>100</v>
      </c>
      <c r="R5">
        <v>4</v>
      </c>
      <c r="S5">
        <v>0</v>
      </c>
      <c r="U5">
        <f t="shared" si="1"/>
        <v>4</v>
      </c>
    </row>
    <row r="6" spans="1:21" x14ac:dyDescent="0.3">
      <c r="A6" t="s">
        <v>98</v>
      </c>
      <c r="B6">
        <f t="shared" si="0"/>
        <v>5</v>
      </c>
      <c r="Q6" t="s">
        <v>101</v>
      </c>
      <c r="R6">
        <v>0</v>
      </c>
      <c r="S6">
        <v>0</v>
      </c>
      <c r="U6">
        <f t="shared" si="1"/>
        <v>0</v>
      </c>
    </row>
    <row r="7" spans="1:21" x14ac:dyDescent="0.3">
      <c r="A7" t="s">
        <v>103</v>
      </c>
      <c r="B7">
        <f t="shared" si="0"/>
        <v>5</v>
      </c>
      <c r="Q7" t="s">
        <v>102</v>
      </c>
      <c r="R7">
        <v>1</v>
      </c>
      <c r="S7">
        <v>0</v>
      </c>
      <c r="U7">
        <f t="shared" si="1"/>
        <v>1</v>
      </c>
    </row>
    <row r="8" spans="1:21" x14ac:dyDescent="0.3">
      <c r="A8" t="s">
        <v>109</v>
      </c>
      <c r="B8">
        <f t="shared" si="0"/>
        <v>5</v>
      </c>
      <c r="Q8" t="s">
        <v>103</v>
      </c>
      <c r="R8">
        <v>5</v>
      </c>
      <c r="S8">
        <v>0</v>
      </c>
      <c r="U8">
        <f t="shared" si="1"/>
        <v>5</v>
      </c>
    </row>
    <row r="9" spans="1:21" x14ac:dyDescent="0.3">
      <c r="A9" t="s">
        <v>100</v>
      </c>
      <c r="B9">
        <f t="shared" si="0"/>
        <v>4</v>
      </c>
      <c r="Q9" t="s">
        <v>104</v>
      </c>
      <c r="R9">
        <v>4</v>
      </c>
      <c r="S9">
        <v>0</v>
      </c>
      <c r="U9">
        <f t="shared" si="1"/>
        <v>4</v>
      </c>
    </row>
    <row r="10" spans="1:21" x14ac:dyDescent="0.3">
      <c r="A10" t="s">
        <v>104</v>
      </c>
      <c r="B10">
        <f t="shared" si="0"/>
        <v>4</v>
      </c>
      <c r="Q10" t="s">
        <v>105</v>
      </c>
      <c r="R10">
        <v>3</v>
      </c>
      <c r="S10">
        <v>20</v>
      </c>
      <c r="U10">
        <f t="shared" si="1"/>
        <v>23</v>
      </c>
    </row>
    <row r="11" spans="1:21" x14ac:dyDescent="0.3">
      <c r="A11" t="s">
        <v>122</v>
      </c>
      <c r="B11">
        <f t="shared" si="0"/>
        <v>3</v>
      </c>
      <c r="Q11" t="s">
        <v>106</v>
      </c>
      <c r="R11">
        <v>0</v>
      </c>
      <c r="S11">
        <v>0</v>
      </c>
      <c r="U11">
        <f t="shared" si="1"/>
        <v>0</v>
      </c>
    </row>
    <row r="12" spans="1:21" x14ac:dyDescent="0.3">
      <c r="A12" t="s">
        <v>107</v>
      </c>
      <c r="B12">
        <f t="shared" si="0"/>
        <v>2</v>
      </c>
      <c r="Q12" t="s">
        <v>107</v>
      </c>
      <c r="R12">
        <v>2</v>
      </c>
      <c r="S12">
        <v>0</v>
      </c>
      <c r="U12">
        <f t="shared" si="1"/>
        <v>2</v>
      </c>
    </row>
    <row r="13" spans="1:21" x14ac:dyDescent="0.3">
      <c r="A13" t="s">
        <v>108</v>
      </c>
      <c r="B13">
        <f t="shared" si="0"/>
        <v>2</v>
      </c>
      <c r="Q13" t="s">
        <v>108</v>
      </c>
      <c r="R13">
        <v>1</v>
      </c>
      <c r="S13">
        <v>1</v>
      </c>
      <c r="U13">
        <f t="shared" si="1"/>
        <v>2</v>
      </c>
    </row>
    <row r="14" spans="1:21" x14ac:dyDescent="0.3">
      <c r="A14" t="s">
        <v>114</v>
      </c>
      <c r="B14">
        <f t="shared" si="0"/>
        <v>1</v>
      </c>
      <c r="Q14" t="s">
        <v>109</v>
      </c>
      <c r="R14">
        <v>4</v>
      </c>
      <c r="S14">
        <v>1</v>
      </c>
      <c r="U14">
        <f t="shared" si="1"/>
        <v>5</v>
      </c>
    </row>
    <row r="15" spans="1:21" x14ac:dyDescent="0.3">
      <c r="A15" t="s">
        <v>110</v>
      </c>
      <c r="B15">
        <f t="shared" si="0"/>
        <v>1</v>
      </c>
      <c r="Q15" t="s">
        <v>110</v>
      </c>
      <c r="R15">
        <v>1</v>
      </c>
      <c r="S15">
        <v>0</v>
      </c>
      <c r="U15">
        <f t="shared" si="1"/>
        <v>1</v>
      </c>
    </row>
    <row r="16" spans="1:21" x14ac:dyDescent="0.3">
      <c r="A16" t="s">
        <v>102</v>
      </c>
      <c r="B16">
        <f t="shared" si="0"/>
        <v>1</v>
      </c>
      <c r="Q16" t="s">
        <v>111</v>
      </c>
      <c r="R16">
        <v>0</v>
      </c>
      <c r="S16">
        <v>0</v>
      </c>
      <c r="U16">
        <f t="shared" si="1"/>
        <v>0</v>
      </c>
    </row>
    <row r="17" spans="1:21" x14ac:dyDescent="0.3">
      <c r="A17" t="s">
        <v>116</v>
      </c>
      <c r="B17">
        <f t="shared" si="0"/>
        <v>0</v>
      </c>
      <c r="Q17" t="s">
        <v>112</v>
      </c>
      <c r="R17">
        <v>0</v>
      </c>
      <c r="S17">
        <v>0</v>
      </c>
      <c r="U17">
        <f t="shared" si="1"/>
        <v>0</v>
      </c>
    </row>
    <row r="18" spans="1:21" x14ac:dyDescent="0.3">
      <c r="A18" t="s">
        <v>123</v>
      </c>
      <c r="B18">
        <f t="shared" si="0"/>
        <v>0</v>
      </c>
      <c r="Q18" t="s">
        <v>113</v>
      </c>
      <c r="R18">
        <v>0</v>
      </c>
      <c r="S18">
        <v>0</v>
      </c>
      <c r="U18">
        <f t="shared" si="1"/>
        <v>0</v>
      </c>
    </row>
    <row r="19" spans="1:21" x14ac:dyDescent="0.3">
      <c r="A19" t="s">
        <v>113</v>
      </c>
      <c r="B19">
        <f t="shared" si="0"/>
        <v>0</v>
      </c>
      <c r="Q19" t="s">
        <v>114</v>
      </c>
      <c r="R19">
        <v>1</v>
      </c>
      <c r="S19">
        <v>0</v>
      </c>
      <c r="U19">
        <f t="shared" si="1"/>
        <v>1</v>
      </c>
    </row>
    <row r="20" spans="1:21" x14ac:dyDescent="0.3">
      <c r="A20" t="s">
        <v>111</v>
      </c>
      <c r="B20">
        <f t="shared" si="0"/>
        <v>0</v>
      </c>
      <c r="Q20" t="s">
        <v>115</v>
      </c>
      <c r="R20">
        <v>0</v>
      </c>
      <c r="S20">
        <v>0</v>
      </c>
      <c r="U20">
        <f t="shared" si="1"/>
        <v>0</v>
      </c>
    </row>
    <row r="21" spans="1:21" x14ac:dyDescent="0.3">
      <c r="A21" t="s">
        <v>112</v>
      </c>
      <c r="B21">
        <f t="shared" si="0"/>
        <v>0</v>
      </c>
      <c r="Q21" t="s">
        <v>116</v>
      </c>
      <c r="R21">
        <v>0</v>
      </c>
      <c r="S21">
        <v>0</v>
      </c>
      <c r="U21">
        <f t="shared" si="1"/>
        <v>0</v>
      </c>
    </row>
    <row r="22" spans="1:21" x14ac:dyDescent="0.3">
      <c r="A22" t="s">
        <v>119</v>
      </c>
      <c r="B22">
        <f t="shared" si="0"/>
        <v>0</v>
      </c>
      <c r="Q22" t="s">
        <v>117</v>
      </c>
      <c r="R22">
        <v>0</v>
      </c>
      <c r="S22">
        <v>0</v>
      </c>
      <c r="U22">
        <f t="shared" si="1"/>
        <v>0</v>
      </c>
    </row>
    <row r="23" spans="1:21" x14ac:dyDescent="0.3">
      <c r="A23" t="s">
        <v>115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117</v>
      </c>
      <c r="B24">
        <f t="shared" si="0"/>
        <v>0</v>
      </c>
      <c r="Q24" t="s">
        <v>119</v>
      </c>
      <c r="R24">
        <v>0</v>
      </c>
      <c r="S24">
        <v>0</v>
      </c>
      <c r="U24">
        <f t="shared" si="1"/>
        <v>0</v>
      </c>
    </row>
    <row r="25" spans="1:21" x14ac:dyDescent="0.3">
      <c r="A25" t="s">
        <v>106</v>
      </c>
      <c r="B25">
        <f t="shared" si="0"/>
        <v>0</v>
      </c>
      <c r="Q25" t="s">
        <v>122</v>
      </c>
      <c r="R25">
        <v>2</v>
      </c>
      <c r="S25">
        <v>1</v>
      </c>
      <c r="U25">
        <f t="shared" si="1"/>
        <v>3</v>
      </c>
    </row>
    <row r="26" spans="1:21" x14ac:dyDescent="0.3">
      <c r="A26" t="s">
        <v>125</v>
      </c>
      <c r="B26">
        <f t="shared" si="0"/>
        <v>0</v>
      </c>
      <c r="Q26" t="s">
        <v>123</v>
      </c>
      <c r="R26">
        <v>0</v>
      </c>
      <c r="S26">
        <v>0</v>
      </c>
      <c r="U26">
        <f t="shared" si="1"/>
        <v>0</v>
      </c>
    </row>
    <row r="27" spans="1:21" x14ac:dyDescent="0.3">
      <c r="A27" t="s">
        <v>101</v>
      </c>
      <c r="B27">
        <f t="shared" si="0"/>
        <v>0</v>
      </c>
      <c r="Q27" t="s">
        <v>125</v>
      </c>
      <c r="R27">
        <v>0</v>
      </c>
      <c r="S27">
        <v>0</v>
      </c>
      <c r="U27">
        <f t="shared" si="1"/>
        <v>0</v>
      </c>
    </row>
    <row r="28" spans="1:21" x14ac:dyDescent="0.3">
      <c r="A28" t="s">
        <v>118</v>
      </c>
      <c r="B28">
        <f t="shared" si="0"/>
        <v>0</v>
      </c>
      <c r="Q28" t="s">
        <v>96</v>
      </c>
      <c r="T28">
        <v>36</v>
      </c>
      <c r="U28">
        <f t="shared" si="1"/>
        <v>36</v>
      </c>
    </row>
    <row r="30" spans="1:21" x14ac:dyDescent="0.3">
      <c r="R30">
        <f>SUM(R2:R28)</f>
        <v>49</v>
      </c>
      <c r="S30">
        <f>SUM(S2:S28)</f>
        <v>25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C205-6CBD-40DA-A045-AABE4A867056}">
  <dimension ref="A1:U30"/>
  <sheetViews>
    <sheetView zoomScaleNormal="100" workbookViewId="0">
      <selection activeCell="F43" sqref="F43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55</v>
      </c>
      <c r="Q2" t="s">
        <v>97</v>
      </c>
      <c r="R2">
        <v>9</v>
      </c>
      <c r="S2">
        <v>4</v>
      </c>
      <c r="U2">
        <f>R2+S2+T2</f>
        <v>13</v>
      </c>
    </row>
    <row r="3" spans="1:21" x14ac:dyDescent="0.3">
      <c r="A3" t="s">
        <v>97</v>
      </c>
      <c r="B3">
        <f t="shared" si="0"/>
        <v>13</v>
      </c>
      <c r="Q3" t="s">
        <v>98</v>
      </c>
      <c r="R3">
        <v>7</v>
      </c>
      <c r="S3">
        <v>3</v>
      </c>
      <c r="U3">
        <f t="shared" ref="U3:U28" si="1">R3+S3+T3</f>
        <v>10</v>
      </c>
    </row>
    <row r="4" spans="1:21" x14ac:dyDescent="0.3">
      <c r="A4" t="s">
        <v>98</v>
      </c>
      <c r="B4">
        <f t="shared" si="0"/>
        <v>10</v>
      </c>
      <c r="Q4" t="s">
        <v>99</v>
      </c>
      <c r="R4">
        <v>6</v>
      </c>
      <c r="S4">
        <v>1</v>
      </c>
      <c r="U4">
        <f t="shared" si="1"/>
        <v>7</v>
      </c>
    </row>
    <row r="5" spans="1:21" x14ac:dyDescent="0.3">
      <c r="A5" t="s">
        <v>100</v>
      </c>
      <c r="B5">
        <f t="shared" si="0"/>
        <v>8</v>
      </c>
      <c r="Q5" t="s">
        <v>100</v>
      </c>
      <c r="R5">
        <v>8</v>
      </c>
      <c r="S5">
        <v>0</v>
      </c>
      <c r="U5">
        <f t="shared" si="1"/>
        <v>8</v>
      </c>
    </row>
    <row r="6" spans="1:21" x14ac:dyDescent="0.3">
      <c r="A6" t="s">
        <v>99</v>
      </c>
      <c r="B6">
        <f t="shared" si="0"/>
        <v>7</v>
      </c>
      <c r="Q6" t="s">
        <v>101</v>
      </c>
      <c r="R6">
        <v>0</v>
      </c>
      <c r="S6">
        <v>1</v>
      </c>
      <c r="U6">
        <f t="shared" si="1"/>
        <v>1</v>
      </c>
    </row>
    <row r="7" spans="1:21" x14ac:dyDescent="0.3">
      <c r="A7" t="s">
        <v>119</v>
      </c>
      <c r="B7">
        <f t="shared" si="0"/>
        <v>4</v>
      </c>
      <c r="Q7" t="s">
        <v>102</v>
      </c>
      <c r="R7">
        <v>0</v>
      </c>
      <c r="S7">
        <v>0</v>
      </c>
      <c r="U7">
        <f t="shared" si="1"/>
        <v>0</v>
      </c>
    </row>
    <row r="8" spans="1:21" x14ac:dyDescent="0.3">
      <c r="A8" t="s">
        <v>105</v>
      </c>
      <c r="B8">
        <f t="shared" si="0"/>
        <v>3</v>
      </c>
      <c r="Q8" t="s">
        <v>103</v>
      </c>
      <c r="R8">
        <v>0</v>
      </c>
      <c r="S8">
        <v>0</v>
      </c>
      <c r="U8">
        <f t="shared" si="1"/>
        <v>0</v>
      </c>
    </row>
    <row r="9" spans="1:21" x14ac:dyDescent="0.3">
      <c r="A9" t="s">
        <v>104</v>
      </c>
      <c r="B9">
        <f t="shared" si="0"/>
        <v>2</v>
      </c>
      <c r="Q9" t="s">
        <v>104</v>
      </c>
      <c r="R9">
        <v>2</v>
      </c>
      <c r="S9">
        <v>0</v>
      </c>
      <c r="U9">
        <f t="shared" si="1"/>
        <v>2</v>
      </c>
    </row>
    <row r="10" spans="1:21" x14ac:dyDescent="0.3">
      <c r="A10" t="s">
        <v>123</v>
      </c>
      <c r="B10">
        <f t="shared" si="0"/>
        <v>2</v>
      </c>
      <c r="Q10" t="s">
        <v>105</v>
      </c>
      <c r="R10">
        <v>2</v>
      </c>
      <c r="S10">
        <v>1</v>
      </c>
      <c r="U10">
        <f t="shared" si="1"/>
        <v>3</v>
      </c>
    </row>
    <row r="11" spans="1:21" x14ac:dyDescent="0.3">
      <c r="A11" t="s">
        <v>112</v>
      </c>
      <c r="B11">
        <f t="shared" si="0"/>
        <v>2</v>
      </c>
      <c r="Q11" t="s">
        <v>106</v>
      </c>
      <c r="R11">
        <v>1</v>
      </c>
      <c r="S11">
        <v>0</v>
      </c>
      <c r="U11">
        <f t="shared" si="1"/>
        <v>1</v>
      </c>
    </row>
    <row r="12" spans="1:21" x14ac:dyDescent="0.3">
      <c r="A12" t="s">
        <v>110</v>
      </c>
      <c r="B12">
        <f t="shared" si="0"/>
        <v>1</v>
      </c>
      <c r="Q12" t="s">
        <v>107</v>
      </c>
      <c r="R12">
        <v>0</v>
      </c>
      <c r="S12">
        <v>0</v>
      </c>
      <c r="U12">
        <f t="shared" si="1"/>
        <v>0</v>
      </c>
    </row>
    <row r="13" spans="1:21" x14ac:dyDescent="0.3">
      <c r="A13" t="s">
        <v>113</v>
      </c>
      <c r="B13">
        <f t="shared" si="0"/>
        <v>1</v>
      </c>
      <c r="Q13" t="s">
        <v>108</v>
      </c>
      <c r="R13">
        <v>0</v>
      </c>
      <c r="S13">
        <v>0</v>
      </c>
      <c r="U13">
        <f t="shared" si="1"/>
        <v>0</v>
      </c>
    </row>
    <row r="14" spans="1:21" x14ac:dyDescent="0.3">
      <c r="A14" t="s">
        <v>106</v>
      </c>
      <c r="B14">
        <f t="shared" si="0"/>
        <v>1</v>
      </c>
      <c r="Q14" t="s">
        <v>109</v>
      </c>
      <c r="R14">
        <v>0</v>
      </c>
      <c r="S14">
        <v>0</v>
      </c>
      <c r="U14">
        <f t="shared" si="1"/>
        <v>0</v>
      </c>
    </row>
    <row r="15" spans="1:21" x14ac:dyDescent="0.3">
      <c r="A15" t="s">
        <v>101</v>
      </c>
      <c r="B15">
        <f t="shared" si="0"/>
        <v>1</v>
      </c>
      <c r="Q15" t="s">
        <v>110</v>
      </c>
      <c r="R15">
        <v>1</v>
      </c>
      <c r="S15">
        <v>0</v>
      </c>
      <c r="U15">
        <f t="shared" si="1"/>
        <v>1</v>
      </c>
    </row>
    <row r="16" spans="1:21" x14ac:dyDescent="0.3">
      <c r="A16" t="s">
        <v>103</v>
      </c>
      <c r="B16">
        <f t="shared" si="0"/>
        <v>0</v>
      </c>
      <c r="Q16" t="s">
        <v>111</v>
      </c>
      <c r="R16">
        <v>0</v>
      </c>
      <c r="S16">
        <v>0</v>
      </c>
      <c r="U16">
        <f t="shared" si="1"/>
        <v>0</v>
      </c>
    </row>
    <row r="17" spans="1:21" x14ac:dyDescent="0.3">
      <c r="A17" t="s">
        <v>109</v>
      </c>
      <c r="B17">
        <f t="shared" si="0"/>
        <v>0</v>
      </c>
      <c r="Q17" t="s">
        <v>112</v>
      </c>
      <c r="R17">
        <v>2</v>
      </c>
      <c r="S17">
        <v>0</v>
      </c>
      <c r="U17">
        <f t="shared" si="1"/>
        <v>2</v>
      </c>
    </row>
    <row r="18" spans="1:21" x14ac:dyDescent="0.3">
      <c r="A18" t="s">
        <v>122</v>
      </c>
      <c r="B18">
        <f t="shared" si="0"/>
        <v>0</v>
      </c>
      <c r="Q18" t="s">
        <v>113</v>
      </c>
      <c r="R18">
        <v>0</v>
      </c>
      <c r="S18">
        <v>1</v>
      </c>
      <c r="U18">
        <f t="shared" si="1"/>
        <v>1</v>
      </c>
    </row>
    <row r="19" spans="1:21" x14ac:dyDescent="0.3">
      <c r="A19" t="s">
        <v>107</v>
      </c>
      <c r="B19">
        <f t="shared" si="0"/>
        <v>0</v>
      </c>
      <c r="Q19" t="s">
        <v>114</v>
      </c>
      <c r="R19">
        <v>0</v>
      </c>
      <c r="S19">
        <v>0</v>
      </c>
      <c r="U19">
        <f t="shared" si="1"/>
        <v>0</v>
      </c>
    </row>
    <row r="20" spans="1:21" x14ac:dyDescent="0.3">
      <c r="A20" t="s">
        <v>108</v>
      </c>
      <c r="B20">
        <f t="shared" si="0"/>
        <v>0</v>
      </c>
      <c r="Q20" t="s">
        <v>115</v>
      </c>
      <c r="R20">
        <v>0</v>
      </c>
      <c r="S20">
        <v>0</v>
      </c>
      <c r="U20">
        <f t="shared" si="1"/>
        <v>0</v>
      </c>
    </row>
    <row r="21" spans="1:21" x14ac:dyDescent="0.3">
      <c r="A21" t="s">
        <v>114</v>
      </c>
      <c r="B21">
        <f t="shared" si="0"/>
        <v>0</v>
      </c>
      <c r="Q21" t="s">
        <v>116</v>
      </c>
      <c r="R21">
        <v>0</v>
      </c>
      <c r="S21">
        <v>0</v>
      </c>
      <c r="U21">
        <f t="shared" si="1"/>
        <v>0</v>
      </c>
    </row>
    <row r="22" spans="1:21" x14ac:dyDescent="0.3">
      <c r="A22" t="s">
        <v>102</v>
      </c>
      <c r="B22">
        <f t="shared" si="0"/>
        <v>0</v>
      </c>
      <c r="Q22" t="s">
        <v>117</v>
      </c>
      <c r="R22">
        <v>0</v>
      </c>
      <c r="S22">
        <v>0</v>
      </c>
      <c r="U22">
        <f t="shared" si="1"/>
        <v>0</v>
      </c>
    </row>
    <row r="23" spans="1:21" x14ac:dyDescent="0.3">
      <c r="A23" t="s">
        <v>116</v>
      </c>
      <c r="B23">
        <f t="shared" si="0"/>
        <v>0</v>
      </c>
      <c r="Q23" t="s">
        <v>118</v>
      </c>
      <c r="R23">
        <v>0</v>
      </c>
      <c r="S23">
        <v>0</v>
      </c>
      <c r="U23">
        <f t="shared" si="1"/>
        <v>0</v>
      </c>
    </row>
    <row r="24" spans="1:21" x14ac:dyDescent="0.3">
      <c r="A24" t="s">
        <v>111</v>
      </c>
      <c r="B24">
        <f t="shared" si="0"/>
        <v>0</v>
      </c>
      <c r="Q24" t="s">
        <v>119</v>
      </c>
      <c r="R24">
        <v>4</v>
      </c>
      <c r="S24">
        <v>0</v>
      </c>
      <c r="U24">
        <f t="shared" si="1"/>
        <v>4</v>
      </c>
    </row>
    <row r="25" spans="1:21" x14ac:dyDescent="0.3">
      <c r="A25" t="s">
        <v>115</v>
      </c>
      <c r="B25">
        <f t="shared" si="0"/>
        <v>0</v>
      </c>
      <c r="Q25" t="s">
        <v>122</v>
      </c>
      <c r="R25">
        <v>0</v>
      </c>
      <c r="S25">
        <v>0</v>
      </c>
      <c r="U25">
        <f t="shared" si="1"/>
        <v>0</v>
      </c>
    </row>
    <row r="26" spans="1:21" x14ac:dyDescent="0.3">
      <c r="A26" t="s">
        <v>117</v>
      </c>
      <c r="B26">
        <f t="shared" si="0"/>
        <v>0</v>
      </c>
      <c r="Q26" t="s">
        <v>123</v>
      </c>
      <c r="R26">
        <v>0</v>
      </c>
      <c r="S26">
        <v>2</v>
      </c>
      <c r="U26">
        <f t="shared" si="1"/>
        <v>2</v>
      </c>
    </row>
    <row r="27" spans="1:21" x14ac:dyDescent="0.3">
      <c r="A27" t="s">
        <v>125</v>
      </c>
      <c r="B27">
        <f t="shared" si="0"/>
        <v>0</v>
      </c>
      <c r="Q27" t="s">
        <v>125</v>
      </c>
      <c r="R27">
        <v>0</v>
      </c>
      <c r="S27">
        <v>0</v>
      </c>
      <c r="U27">
        <f t="shared" si="1"/>
        <v>0</v>
      </c>
    </row>
    <row r="28" spans="1:21" x14ac:dyDescent="0.3">
      <c r="A28" t="s">
        <v>118</v>
      </c>
      <c r="B28">
        <f t="shared" si="0"/>
        <v>0</v>
      </c>
      <c r="Q28" t="s">
        <v>96</v>
      </c>
      <c r="T28">
        <v>55</v>
      </c>
      <c r="U28">
        <f t="shared" si="1"/>
        <v>55</v>
      </c>
    </row>
    <row r="30" spans="1:21" x14ac:dyDescent="0.3">
      <c r="R30">
        <f>SUM(R2:R28)</f>
        <v>42</v>
      </c>
      <c r="S30">
        <f>SUM(S2:S28)</f>
        <v>13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507F6-373A-484B-9AD7-F30D96DCB8A2}">
  <dimension ref="A1:U30"/>
  <sheetViews>
    <sheetView topLeftCell="A34" zoomScale="75" zoomScaleNormal="75" workbookViewId="0">
      <selection activeCell="E54" sqref="E54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 t="shared" ref="B2:B28" si="0">VLOOKUP(A2,$Q$2:$U$28,5,0)</f>
        <v>54</v>
      </c>
      <c r="Q2" t="s">
        <v>97</v>
      </c>
      <c r="R2">
        <v>6</v>
      </c>
      <c r="U2">
        <f>R2+S2+T2</f>
        <v>6</v>
      </c>
    </row>
    <row r="3" spans="1:21" x14ac:dyDescent="0.3">
      <c r="A3" t="s">
        <v>99</v>
      </c>
      <c r="B3">
        <f t="shared" si="0"/>
        <v>13</v>
      </c>
      <c r="Q3" t="s">
        <v>98</v>
      </c>
      <c r="R3">
        <v>6</v>
      </c>
      <c r="U3">
        <f t="shared" ref="U3:U28" si="1">R3+S3+T3</f>
        <v>6</v>
      </c>
    </row>
    <row r="4" spans="1:21" x14ac:dyDescent="0.3">
      <c r="A4" t="s">
        <v>105</v>
      </c>
      <c r="B4">
        <f t="shared" si="0"/>
        <v>8</v>
      </c>
      <c r="Q4" t="s">
        <v>99</v>
      </c>
      <c r="R4">
        <v>13</v>
      </c>
      <c r="U4">
        <f t="shared" si="1"/>
        <v>13</v>
      </c>
    </row>
    <row r="5" spans="1:21" x14ac:dyDescent="0.3">
      <c r="A5" t="s">
        <v>100</v>
      </c>
      <c r="B5">
        <f t="shared" si="0"/>
        <v>7</v>
      </c>
      <c r="Q5" t="s">
        <v>100</v>
      </c>
      <c r="R5">
        <v>7</v>
      </c>
      <c r="U5">
        <f t="shared" si="1"/>
        <v>7</v>
      </c>
    </row>
    <row r="6" spans="1:21" x14ac:dyDescent="0.3">
      <c r="A6" t="s">
        <v>97</v>
      </c>
      <c r="B6">
        <f t="shared" si="0"/>
        <v>6</v>
      </c>
      <c r="Q6" t="s">
        <v>101</v>
      </c>
      <c r="R6">
        <v>0</v>
      </c>
      <c r="U6">
        <f t="shared" si="1"/>
        <v>0</v>
      </c>
    </row>
    <row r="7" spans="1:21" x14ac:dyDescent="0.3">
      <c r="A7" t="s">
        <v>98</v>
      </c>
      <c r="B7">
        <f t="shared" si="0"/>
        <v>6</v>
      </c>
      <c r="Q7" t="s">
        <v>102</v>
      </c>
      <c r="R7">
        <v>0</v>
      </c>
      <c r="U7">
        <f t="shared" si="1"/>
        <v>0</v>
      </c>
    </row>
    <row r="8" spans="1:21" x14ac:dyDescent="0.3">
      <c r="A8" t="s">
        <v>103</v>
      </c>
      <c r="B8">
        <f t="shared" si="0"/>
        <v>3</v>
      </c>
      <c r="Q8" t="s">
        <v>103</v>
      </c>
      <c r="R8">
        <v>3</v>
      </c>
      <c r="U8">
        <f t="shared" si="1"/>
        <v>3</v>
      </c>
    </row>
    <row r="9" spans="1:21" x14ac:dyDescent="0.3">
      <c r="A9" t="s">
        <v>111</v>
      </c>
      <c r="B9">
        <f t="shared" si="0"/>
        <v>3</v>
      </c>
      <c r="Q9" t="s">
        <v>104</v>
      </c>
      <c r="R9">
        <v>1</v>
      </c>
      <c r="U9">
        <f t="shared" si="1"/>
        <v>1</v>
      </c>
    </row>
    <row r="10" spans="1:21" x14ac:dyDescent="0.3">
      <c r="A10" t="s">
        <v>112</v>
      </c>
      <c r="B10">
        <f t="shared" si="0"/>
        <v>2</v>
      </c>
      <c r="Q10" t="s">
        <v>105</v>
      </c>
      <c r="R10">
        <v>8</v>
      </c>
      <c r="U10">
        <f t="shared" si="1"/>
        <v>8</v>
      </c>
    </row>
    <row r="11" spans="1:21" x14ac:dyDescent="0.3">
      <c r="A11" t="s">
        <v>125</v>
      </c>
      <c r="B11">
        <f t="shared" si="0"/>
        <v>2</v>
      </c>
      <c r="Q11" t="s">
        <v>106</v>
      </c>
      <c r="R11">
        <v>0</v>
      </c>
      <c r="U11">
        <f t="shared" si="1"/>
        <v>0</v>
      </c>
    </row>
    <row r="12" spans="1:21" x14ac:dyDescent="0.3">
      <c r="A12" t="s">
        <v>119</v>
      </c>
      <c r="B12">
        <f t="shared" si="0"/>
        <v>1</v>
      </c>
      <c r="Q12" t="s">
        <v>107</v>
      </c>
      <c r="R12">
        <v>1</v>
      </c>
      <c r="U12">
        <f t="shared" si="1"/>
        <v>1</v>
      </c>
    </row>
    <row r="13" spans="1:21" x14ac:dyDescent="0.3">
      <c r="A13" t="s">
        <v>104</v>
      </c>
      <c r="B13">
        <f t="shared" si="0"/>
        <v>1</v>
      </c>
      <c r="Q13" t="s">
        <v>108</v>
      </c>
      <c r="R13">
        <v>0</v>
      </c>
      <c r="U13">
        <f t="shared" si="1"/>
        <v>0</v>
      </c>
    </row>
    <row r="14" spans="1:21" x14ac:dyDescent="0.3">
      <c r="A14" t="s">
        <v>110</v>
      </c>
      <c r="B14">
        <f t="shared" si="0"/>
        <v>1</v>
      </c>
      <c r="Q14" t="s">
        <v>109</v>
      </c>
      <c r="R14">
        <v>1</v>
      </c>
      <c r="U14">
        <f t="shared" si="1"/>
        <v>1</v>
      </c>
    </row>
    <row r="15" spans="1:21" x14ac:dyDescent="0.3">
      <c r="A15" t="s">
        <v>113</v>
      </c>
      <c r="B15">
        <f t="shared" si="0"/>
        <v>1</v>
      </c>
      <c r="Q15" t="s">
        <v>110</v>
      </c>
      <c r="R15">
        <v>1</v>
      </c>
      <c r="U15">
        <f t="shared" si="1"/>
        <v>1</v>
      </c>
    </row>
    <row r="16" spans="1:21" x14ac:dyDescent="0.3">
      <c r="A16" t="s">
        <v>109</v>
      </c>
      <c r="B16">
        <f t="shared" si="0"/>
        <v>1</v>
      </c>
      <c r="Q16" t="s">
        <v>111</v>
      </c>
      <c r="R16">
        <v>3</v>
      </c>
      <c r="U16">
        <f t="shared" si="1"/>
        <v>3</v>
      </c>
    </row>
    <row r="17" spans="1:21" x14ac:dyDescent="0.3">
      <c r="A17" t="s">
        <v>107</v>
      </c>
      <c r="B17">
        <f t="shared" si="0"/>
        <v>1</v>
      </c>
      <c r="Q17" t="s">
        <v>112</v>
      </c>
      <c r="R17">
        <v>2</v>
      </c>
      <c r="U17">
        <f t="shared" si="1"/>
        <v>2</v>
      </c>
    </row>
    <row r="18" spans="1:21" x14ac:dyDescent="0.3">
      <c r="A18" t="s">
        <v>115</v>
      </c>
      <c r="B18">
        <f t="shared" si="0"/>
        <v>1</v>
      </c>
      <c r="Q18" t="s">
        <v>113</v>
      </c>
      <c r="R18">
        <v>0</v>
      </c>
      <c r="S18">
        <v>1</v>
      </c>
      <c r="U18">
        <f t="shared" si="1"/>
        <v>1</v>
      </c>
    </row>
    <row r="19" spans="1:21" x14ac:dyDescent="0.3">
      <c r="A19" t="s">
        <v>123</v>
      </c>
      <c r="B19">
        <f t="shared" si="0"/>
        <v>0</v>
      </c>
      <c r="Q19" t="s">
        <v>114</v>
      </c>
      <c r="R19">
        <v>0</v>
      </c>
      <c r="U19">
        <f t="shared" si="1"/>
        <v>0</v>
      </c>
    </row>
    <row r="20" spans="1:21" x14ac:dyDescent="0.3">
      <c r="A20" t="s">
        <v>106</v>
      </c>
      <c r="B20">
        <f t="shared" si="0"/>
        <v>0</v>
      </c>
      <c r="Q20" t="s">
        <v>115</v>
      </c>
      <c r="R20">
        <v>1</v>
      </c>
      <c r="U20">
        <f t="shared" si="1"/>
        <v>1</v>
      </c>
    </row>
    <row r="21" spans="1:21" x14ac:dyDescent="0.3">
      <c r="A21" t="s">
        <v>101</v>
      </c>
      <c r="B21">
        <f t="shared" si="0"/>
        <v>0</v>
      </c>
      <c r="Q21" t="s">
        <v>116</v>
      </c>
      <c r="R21">
        <v>0</v>
      </c>
      <c r="U21">
        <f t="shared" si="1"/>
        <v>0</v>
      </c>
    </row>
    <row r="22" spans="1:21" x14ac:dyDescent="0.3">
      <c r="A22" t="s">
        <v>122</v>
      </c>
      <c r="B22">
        <f t="shared" si="0"/>
        <v>0</v>
      </c>
      <c r="Q22" t="s">
        <v>117</v>
      </c>
      <c r="R22">
        <v>0</v>
      </c>
      <c r="U22">
        <f t="shared" si="1"/>
        <v>0</v>
      </c>
    </row>
    <row r="23" spans="1:21" x14ac:dyDescent="0.3">
      <c r="A23" t="s">
        <v>108</v>
      </c>
      <c r="B23">
        <f t="shared" si="0"/>
        <v>0</v>
      </c>
      <c r="Q23" t="s">
        <v>118</v>
      </c>
      <c r="R23">
        <v>0</v>
      </c>
      <c r="U23">
        <f t="shared" si="1"/>
        <v>0</v>
      </c>
    </row>
    <row r="24" spans="1:21" x14ac:dyDescent="0.3">
      <c r="A24" t="s">
        <v>114</v>
      </c>
      <c r="B24">
        <f t="shared" si="0"/>
        <v>0</v>
      </c>
      <c r="Q24" t="s">
        <v>119</v>
      </c>
      <c r="R24">
        <v>1</v>
      </c>
      <c r="U24">
        <f t="shared" si="1"/>
        <v>1</v>
      </c>
    </row>
    <row r="25" spans="1:21" x14ac:dyDescent="0.3">
      <c r="A25" t="s">
        <v>102</v>
      </c>
      <c r="B25">
        <f t="shared" si="0"/>
        <v>0</v>
      </c>
      <c r="Q25" t="s">
        <v>122</v>
      </c>
      <c r="R25">
        <v>0</v>
      </c>
      <c r="U25">
        <f t="shared" si="1"/>
        <v>0</v>
      </c>
    </row>
    <row r="26" spans="1:21" x14ac:dyDescent="0.3">
      <c r="A26" t="s">
        <v>116</v>
      </c>
      <c r="B26">
        <f t="shared" si="0"/>
        <v>0</v>
      </c>
      <c r="Q26" t="s">
        <v>123</v>
      </c>
      <c r="R26">
        <v>0</v>
      </c>
      <c r="U26">
        <f t="shared" si="1"/>
        <v>0</v>
      </c>
    </row>
    <row r="27" spans="1:21" x14ac:dyDescent="0.3">
      <c r="A27" t="s">
        <v>117</v>
      </c>
      <c r="B27">
        <f t="shared" si="0"/>
        <v>0</v>
      </c>
      <c r="Q27" t="s">
        <v>125</v>
      </c>
      <c r="R27">
        <v>2</v>
      </c>
      <c r="U27">
        <f t="shared" si="1"/>
        <v>2</v>
      </c>
    </row>
    <row r="28" spans="1:21" x14ac:dyDescent="0.3">
      <c r="A28" t="s">
        <v>118</v>
      </c>
      <c r="B28">
        <f t="shared" si="0"/>
        <v>0</v>
      </c>
      <c r="Q28" t="s">
        <v>96</v>
      </c>
      <c r="T28">
        <v>54</v>
      </c>
      <c r="U28">
        <f t="shared" si="1"/>
        <v>54</v>
      </c>
    </row>
    <row r="30" spans="1:21" x14ac:dyDescent="0.3">
      <c r="R30">
        <f>SUM(R2:R28)</f>
        <v>56</v>
      </c>
      <c r="S30">
        <f>SUM(S2:S28)</f>
        <v>1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AA3F-0913-4C2A-959A-472640A88F9F}">
  <dimension ref="A1:U30"/>
  <sheetViews>
    <sheetView tabSelected="1" topLeftCell="C46" zoomScale="75" zoomScaleNormal="75" workbookViewId="0">
      <selection activeCell="I44" sqref="I44"/>
    </sheetView>
  </sheetViews>
  <sheetFormatPr defaultRowHeight="16.5" x14ac:dyDescent="0.3"/>
  <cols>
    <col min="3" max="4" width="15.125" bestFit="1" customWidth="1"/>
    <col min="18" max="19" width="15.125" bestFit="1" customWidth="1"/>
  </cols>
  <sheetData>
    <row r="1" spans="1:21" x14ac:dyDescent="0.3">
      <c r="A1" t="s">
        <v>0</v>
      </c>
      <c r="B1" t="s">
        <v>1</v>
      </c>
      <c r="R1" t="s">
        <v>11</v>
      </c>
      <c r="S1" t="s">
        <v>12</v>
      </c>
      <c r="T1" t="s">
        <v>96</v>
      </c>
      <c r="U1" t="s">
        <v>121</v>
      </c>
    </row>
    <row r="2" spans="1:21" x14ac:dyDescent="0.3">
      <c r="A2" t="s">
        <v>96</v>
      </c>
      <c r="B2">
        <f>VLOOKUP(A2,$Q$2:$U$28,5,0)</f>
        <v>57</v>
      </c>
      <c r="Q2" t="s">
        <v>97</v>
      </c>
      <c r="R2">
        <v>0</v>
      </c>
      <c r="S2">
        <v>0</v>
      </c>
      <c r="U2">
        <f>R2+S2+T2</f>
        <v>0</v>
      </c>
    </row>
    <row r="3" spans="1:21" x14ac:dyDescent="0.3">
      <c r="A3" t="s">
        <v>98</v>
      </c>
      <c r="B3">
        <f>VLOOKUP(A3,$Q$2:$U$28,5,0)</f>
        <v>11</v>
      </c>
      <c r="Q3" t="s">
        <v>98</v>
      </c>
      <c r="R3">
        <v>10</v>
      </c>
      <c r="S3">
        <v>1</v>
      </c>
      <c r="U3">
        <f t="shared" ref="U3:U28" si="0">R3+S3+T3</f>
        <v>11</v>
      </c>
    </row>
    <row r="4" spans="1:21" x14ac:dyDescent="0.3">
      <c r="A4" t="s">
        <v>99</v>
      </c>
      <c r="B4">
        <f>VLOOKUP(A4,$Q$2:$U$28,5,0)</f>
        <v>9</v>
      </c>
      <c r="Q4" t="s">
        <v>99</v>
      </c>
      <c r="R4">
        <v>6</v>
      </c>
      <c r="S4">
        <v>3</v>
      </c>
      <c r="U4">
        <f t="shared" si="0"/>
        <v>9</v>
      </c>
    </row>
    <row r="5" spans="1:21" x14ac:dyDescent="0.3">
      <c r="A5" t="s">
        <v>103</v>
      </c>
      <c r="B5">
        <f>VLOOKUP(A5,$Q$2:$U$28,5,0)</f>
        <v>7</v>
      </c>
      <c r="Q5" t="s">
        <v>100</v>
      </c>
      <c r="R5">
        <v>6</v>
      </c>
      <c r="S5">
        <v>0</v>
      </c>
      <c r="U5">
        <f t="shared" si="0"/>
        <v>6</v>
      </c>
    </row>
    <row r="6" spans="1:21" x14ac:dyDescent="0.3">
      <c r="A6" t="s">
        <v>100</v>
      </c>
      <c r="B6">
        <f>VLOOKUP(A6,$Q$2:$U$28,5,0)</f>
        <v>6</v>
      </c>
      <c r="Q6" t="s">
        <v>101</v>
      </c>
      <c r="R6">
        <v>0</v>
      </c>
      <c r="S6">
        <v>0</v>
      </c>
      <c r="U6">
        <f t="shared" si="0"/>
        <v>0</v>
      </c>
    </row>
    <row r="7" spans="1:21" x14ac:dyDescent="0.3">
      <c r="A7" t="s">
        <v>104</v>
      </c>
      <c r="B7">
        <f>VLOOKUP(A7,$Q$2:$U$28,5,0)</f>
        <v>3</v>
      </c>
      <c r="Q7" t="s">
        <v>102</v>
      </c>
      <c r="R7">
        <v>1</v>
      </c>
      <c r="S7">
        <v>0</v>
      </c>
      <c r="U7">
        <f t="shared" si="0"/>
        <v>1</v>
      </c>
    </row>
    <row r="8" spans="1:21" x14ac:dyDescent="0.3">
      <c r="A8" t="s">
        <v>113</v>
      </c>
      <c r="B8">
        <f>VLOOKUP(A8,$Q$2:$U$28,5,0)</f>
        <v>3</v>
      </c>
      <c r="Q8" t="s">
        <v>103</v>
      </c>
      <c r="R8">
        <v>7</v>
      </c>
      <c r="S8">
        <v>0</v>
      </c>
      <c r="U8">
        <f t="shared" si="0"/>
        <v>7</v>
      </c>
    </row>
    <row r="9" spans="1:21" x14ac:dyDescent="0.3">
      <c r="A9" t="s">
        <v>105</v>
      </c>
      <c r="B9">
        <f>VLOOKUP(A9,$Q$2:$U$28,5,0)</f>
        <v>2</v>
      </c>
      <c r="Q9" t="s">
        <v>104</v>
      </c>
      <c r="R9">
        <v>3</v>
      </c>
      <c r="S9">
        <v>0</v>
      </c>
      <c r="U9">
        <f t="shared" si="0"/>
        <v>3</v>
      </c>
    </row>
    <row r="10" spans="1:21" x14ac:dyDescent="0.3">
      <c r="A10" t="s">
        <v>107</v>
      </c>
      <c r="B10">
        <f>VLOOKUP(A10,$Q$2:$U$28,5,0)</f>
        <v>2</v>
      </c>
      <c r="Q10" t="s">
        <v>105</v>
      </c>
      <c r="R10">
        <v>2</v>
      </c>
      <c r="S10">
        <v>0</v>
      </c>
      <c r="U10">
        <f t="shared" si="0"/>
        <v>2</v>
      </c>
    </row>
    <row r="11" spans="1:21" x14ac:dyDescent="0.3">
      <c r="A11" t="s">
        <v>111</v>
      </c>
      <c r="B11">
        <f>VLOOKUP(A11,$Q$2:$U$28,5,0)</f>
        <v>1</v>
      </c>
      <c r="Q11" t="s">
        <v>106</v>
      </c>
      <c r="R11">
        <v>1</v>
      </c>
      <c r="S11">
        <v>0</v>
      </c>
      <c r="U11">
        <f t="shared" si="0"/>
        <v>1</v>
      </c>
    </row>
    <row r="12" spans="1:21" x14ac:dyDescent="0.3">
      <c r="A12" t="s">
        <v>110</v>
      </c>
      <c r="B12">
        <f>VLOOKUP(A12,$Q$2:$U$28,5,0)</f>
        <v>1</v>
      </c>
      <c r="Q12" t="s">
        <v>107</v>
      </c>
      <c r="R12">
        <v>2</v>
      </c>
      <c r="S12">
        <v>0</v>
      </c>
      <c r="U12">
        <f t="shared" si="0"/>
        <v>2</v>
      </c>
    </row>
    <row r="13" spans="1:21" x14ac:dyDescent="0.3">
      <c r="A13" t="s">
        <v>115</v>
      </c>
      <c r="B13">
        <f>VLOOKUP(A13,$Q$2:$U$28,5,0)</f>
        <v>1</v>
      </c>
      <c r="Q13" t="s">
        <v>108</v>
      </c>
      <c r="R13">
        <v>0</v>
      </c>
      <c r="S13">
        <v>0</v>
      </c>
      <c r="U13">
        <f t="shared" si="0"/>
        <v>0</v>
      </c>
    </row>
    <row r="14" spans="1:21" x14ac:dyDescent="0.3">
      <c r="A14" t="s">
        <v>106</v>
      </c>
      <c r="B14">
        <f>VLOOKUP(A14,$Q$2:$U$28,5,0)</f>
        <v>1</v>
      </c>
      <c r="Q14" t="s">
        <v>109</v>
      </c>
      <c r="R14">
        <v>0</v>
      </c>
      <c r="S14">
        <v>0</v>
      </c>
      <c r="U14">
        <f t="shared" si="0"/>
        <v>0</v>
      </c>
    </row>
    <row r="15" spans="1:21" x14ac:dyDescent="0.3">
      <c r="A15" t="s">
        <v>102</v>
      </c>
      <c r="B15">
        <f>VLOOKUP(A15,$Q$2:$U$28,5,0)</f>
        <v>1</v>
      </c>
      <c r="Q15" t="s">
        <v>110</v>
      </c>
      <c r="R15">
        <v>1</v>
      </c>
      <c r="S15">
        <v>0</v>
      </c>
      <c r="U15">
        <f t="shared" si="0"/>
        <v>1</v>
      </c>
    </row>
    <row r="16" spans="1:21" x14ac:dyDescent="0.3">
      <c r="A16" t="s">
        <v>117</v>
      </c>
      <c r="B16">
        <f>VLOOKUP(A16,$Q$2:$U$28,5,0)</f>
        <v>1</v>
      </c>
      <c r="Q16" t="s">
        <v>111</v>
      </c>
      <c r="R16">
        <v>1</v>
      </c>
      <c r="S16">
        <v>0</v>
      </c>
      <c r="U16">
        <f t="shared" si="0"/>
        <v>1</v>
      </c>
    </row>
    <row r="17" spans="1:21" x14ac:dyDescent="0.3">
      <c r="A17" t="s">
        <v>97</v>
      </c>
      <c r="B17">
        <f>VLOOKUP(A17,$Q$2:$U$28,5,0)</f>
        <v>0</v>
      </c>
      <c r="Q17" t="s">
        <v>112</v>
      </c>
      <c r="R17">
        <v>0</v>
      </c>
      <c r="S17">
        <v>0</v>
      </c>
      <c r="U17">
        <f t="shared" si="0"/>
        <v>0</v>
      </c>
    </row>
    <row r="18" spans="1:21" x14ac:dyDescent="0.3">
      <c r="A18" t="s">
        <v>112</v>
      </c>
      <c r="B18">
        <f>VLOOKUP(A18,$Q$2:$U$28,5,0)</f>
        <v>0</v>
      </c>
      <c r="Q18" t="s">
        <v>113</v>
      </c>
      <c r="R18">
        <v>3</v>
      </c>
      <c r="S18">
        <v>0</v>
      </c>
      <c r="U18">
        <f t="shared" si="0"/>
        <v>3</v>
      </c>
    </row>
    <row r="19" spans="1:21" x14ac:dyDescent="0.3">
      <c r="A19" t="s">
        <v>125</v>
      </c>
      <c r="B19">
        <f>VLOOKUP(A19,$Q$2:$U$28,5,0)</f>
        <v>0</v>
      </c>
      <c r="Q19" t="s">
        <v>114</v>
      </c>
      <c r="R19">
        <v>0</v>
      </c>
      <c r="S19">
        <v>0</v>
      </c>
      <c r="U19">
        <f t="shared" si="0"/>
        <v>0</v>
      </c>
    </row>
    <row r="20" spans="1:21" x14ac:dyDescent="0.3">
      <c r="A20" t="s">
        <v>119</v>
      </c>
      <c r="B20">
        <f>VLOOKUP(A20,$Q$2:$U$28,5,0)</f>
        <v>0</v>
      </c>
      <c r="Q20" t="s">
        <v>115</v>
      </c>
      <c r="R20">
        <v>1</v>
      </c>
      <c r="S20">
        <v>0</v>
      </c>
      <c r="U20">
        <f t="shared" si="0"/>
        <v>1</v>
      </c>
    </row>
    <row r="21" spans="1:21" x14ac:dyDescent="0.3">
      <c r="A21" t="s">
        <v>109</v>
      </c>
      <c r="B21">
        <f>VLOOKUP(A21,$Q$2:$U$28,5,0)</f>
        <v>0</v>
      </c>
      <c r="Q21" t="s">
        <v>116</v>
      </c>
      <c r="R21">
        <v>0</v>
      </c>
      <c r="S21">
        <v>0</v>
      </c>
      <c r="U21">
        <f t="shared" si="0"/>
        <v>0</v>
      </c>
    </row>
    <row r="22" spans="1:21" x14ac:dyDescent="0.3">
      <c r="A22" t="s">
        <v>123</v>
      </c>
      <c r="B22">
        <f>VLOOKUP(A22,$Q$2:$U$28,5,0)</f>
        <v>0</v>
      </c>
      <c r="Q22" t="s">
        <v>117</v>
      </c>
      <c r="R22">
        <v>1</v>
      </c>
      <c r="S22">
        <v>0</v>
      </c>
      <c r="U22">
        <f t="shared" si="0"/>
        <v>1</v>
      </c>
    </row>
    <row r="23" spans="1:21" x14ac:dyDescent="0.3">
      <c r="A23" t="s">
        <v>101</v>
      </c>
      <c r="B23">
        <f>VLOOKUP(A23,$Q$2:$U$28,5,0)</f>
        <v>0</v>
      </c>
      <c r="Q23" t="s">
        <v>118</v>
      </c>
      <c r="R23">
        <v>0</v>
      </c>
      <c r="S23">
        <v>0</v>
      </c>
      <c r="U23">
        <f t="shared" si="0"/>
        <v>0</v>
      </c>
    </row>
    <row r="24" spans="1:21" x14ac:dyDescent="0.3">
      <c r="A24" t="s">
        <v>122</v>
      </c>
      <c r="B24">
        <f>VLOOKUP(A24,$Q$2:$U$28,5,0)</f>
        <v>0</v>
      </c>
      <c r="Q24" t="s">
        <v>119</v>
      </c>
      <c r="R24">
        <v>0</v>
      </c>
      <c r="S24">
        <v>0</v>
      </c>
      <c r="U24">
        <f t="shared" si="0"/>
        <v>0</v>
      </c>
    </row>
    <row r="25" spans="1:21" x14ac:dyDescent="0.3">
      <c r="A25" t="s">
        <v>108</v>
      </c>
      <c r="B25">
        <f>VLOOKUP(A25,$Q$2:$U$28,5,0)</f>
        <v>0</v>
      </c>
      <c r="Q25" t="s">
        <v>122</v>
      </c>
      <c r="R25">
        <v>0</v>
      </c>
      <c r="S25">
        <v>0</v>
      </c>
      <c r="U25">
        <f t="shared" si="0"/>
        <v>0</v>
      </c>
    </row>
    <row r="26" spans="1:21" x14ac:dyDescent="0.3">
      <c r="A26" t="s">
        <v>114</v>
      </c>
      <c r="B26">
        <f>VLOOKUP(A26,$Q$2:$U$28,5,0)</f>
        <v>0</v>
      </c>
      <c r="Q26" t="s">
        <v>123</v>
      </c>
      <c r="R26">
        <v>0</v>
      </c>
      <c r="S26">
        <v>0</v>
      </c>
      <c r="U26">
        <f t="shared" si="0"/>
        <v>0</v>
      </c>
    </row>
    <row r="27" spans="1:21" x14ac:dyDescent="0.3">
      <c r="A27" t="s">
        <v>116</v>
      </c>
      <c r="B27">
        <f>VLOOKUP(A27,$Q$2:$U$28,5,0)</f>
        <v>0</v>
      </c>
      <c r="Q27" t="s">
        <v>125</v>
      </c>
      <c r="R27">
        <v>0</v>
      </c>
      <c r="S27">
        <v>0</v>
      </c>
      <c r="U27">
        <f t="shared" si="0"/>
        <v>0</v>
      </c>
    </row>
    <row r="28" spans="1:21" x14ac:dyDescent="0.3">
      <c r="A28" t="s">
        <v>118</v>
      </c>
      <c r="B28">
        <f>VLOOKUP(A28,$Q$2:$U$28,5,0)</f>
        <v>0</v>
      </c>
      <c r="Q28" t="s">
        <v>96</v>
      </c>
      <c r="T28">
        <v>57</v>
      </c>
      <c r="U28">
        <f t="shared" si="0"/>
        <v>57</v>
      </c>
    </row>
    <row r="30" spans="1:21" x14ac:dyDescent="0.3">
      <c r="R30">
        <f>SUM(R2:R28)</f>
        <v>45</v>
      </c>
      <c r="S30">
        <f>SUM(S2:S28)</f>
        <v>4</v>
      </c>
    </row>
  </sheetData>
  <autoFilter ref="A1:B25" xr:uid="{B9727E7A-43A9-4AF1-9DEE-D66CFCECDAA8}">
    <sortState xmlns:xlrd2="http://schemas.microsoft.com/office/spreadsheetml/2017/richdata2" ref="A2:B28">
      <sortCondition descending="1" ref="B1:B25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21CA-A808-47FD-928C-8FCD21C4AAC0}">
  <dimension ref="A1:AS150"/>
  <sheetViews>
    <sheetView zoomScaleNormal="100" workbookViewId="0">
      <selection activeCell="G4" sqref="G4"/>
    </sheetView>
  </sheetViews>
  <sheetFormatPr defaultRowHeight="16.5" x14ac:dyDescent="0.3"/>
  <cols>
    <col min="2" max="2" width="11.625" bestFit="1" customWidth="1"/>
    <col min="3" max="3" width="11.625" customWidth="1"/>
    <col min="4" max="4" width="11.875" bestFit="1" customWidth="1"/>
    <col min="5" max="5" width="11.875" customWidth="1"/>
    <col min="6" max="45" width="7.625" customWidth="1"/>
  </cols>
  <sheetData>
    <row r="1" spans="1:45" x14ac:dyDescent="0.3">
      <c r="A1" t="s">
        <v>0</v>
      </c>
      <c r="B1" t="s">
        <v>129</v>
      </c>
      <c r="C1" t="s">
        <v>149</v>
      </c>
      <c r="D1" t="s">
        <v>128</v>
      </c>
      <c r="E1" t="s">
        <v>150</v>
      </c>
      <c r="F1" s="4">
        <v>45200</v>
      </c>
      <c r="G1" s="4">
        <v>45231</v>
      </c>
      <c r="H1" s="4">
        <v>45261</v>
      </c>
      <c r="I1" s="4">
        <v>45292</v>
      </c>
      <c r="J1" s="4">
        <v>45323</v>
      </c>
      <c r="K1" s="4">
        <v>45352</v>
      </c>
      <c r="L1" s="4">
        <v>45383</v>
      </c>
      <c r="M1" s="4">
        <v>45413</v>
      </c>
      <c r="N1" s="4">
        <v>45444</v>
      </c>
      <c r="O1" s="4">
        <v>45474</v>
      </c>
      <c r="P1" s="4">
        <v>45505</v>
      </c>
      <c r="Q1" s="4">
        <v>45536</v>
      </c>
      <c r="R1" s="4">
        <v>45566</v>
      </c>
      <c r="S1" s="4">
        <v>45597</v>
      </c>
      <c r="T1" s="4">
        <v>45627</v>
      </c>
      <c r="U1" s="4">
        <v>45658</v>
      </c>
      <c r="V1" s="4">
        <v>45689</v>
      </c>
      <c r="W1" s="4">
        <v>45717</v>
      </c>
      <c r="X1" s="4">
        <v>45748</v>
      </c>
      <c r="Y1" s="4">
        <v>45778</v>
      </c>
      <c r="Z1" s="4">
        <v>45809</v>
      </c>
      <c r="AA1" s="4">
        <v>45839</v>
      </c>
      <c r="AB1" s="4">
        <v>45870</v>
      </c>
      <c r="AC1" s="4">
        <v>45901</v>
      </c>
      <c r="AD1" s="4">
        <v>45931</v>
      </c>
      <c r="AE1" s="4">
        <v>45962</v>
      </c>
      <c r="AF1" s="4">
        <v>45992</v>
      </c>
      <c r="AG1" s="4">
        <v>46023</v>
      </c>
      <c r="AH1" s="4">
        <v>46054</v>
      </c>
      <c r="AI1" s="4">
        <v>46082</v>
      </c>
      <c r="AJ1" s="4">
        <v>46113</v>
      </c>
      <c r="AK1" s="4">
        <v>46143</v>
      </c>
      <c r="AL1" s="4">
        <v>46174</v>
      </c>
      <c r="AM1" s="4">
        <v>46204</v>
      </c>
      <c r="AN1" s="4">
        <v>46235</v>
      </c>
      <c r="AO1" s="4">
        <v>46266</v>
      </c>
      <c r="AP1" s="4">
        <v>46296</v>
      </c>
      <c r="AQ1" s="4">
        <v>46327</v>
      </c>
      <c r="AR1" s="4">
        <v>46357</v>
      </c>
      <c r="AS1" s="4">
        <v>46388</v>
      </c>
    </row>
    <row r="2" spans="1:45" x14ac:dyDescent="0.3">
      <c r="A2" t="s">
        <v>96</v>
      </c>
      <c r="B2">
        <f>SUM(F2:AS2)</f>
        <v>1490</v>
      </c>
      <c r="C2" s="2">
        <f>B2/B$30</f>
        <v>0.36681437715411125</v>
      </c>
      <c r="D2">
        <f>SUM(I2:T2)</f>
        <v>580</v>
      </c>
      <c r="E2">
        <f>SUM(U2:AF2)</f>
        <v>585</v>
      </c>
      <c r="F2">
        <f>VLOOKUP($A2,'2023.10'!$A$2:$B$26,2,FALSE)</f>
        <v>64</v>
      </c>
      <c r="G2">
        <f>VLOOKUP($A2,'2023.11'!$A$2:$B$26,2,FALSE)</f>
        <v>36</v>
      </c>
      <c r="H2">
        <f>VLOOKUP($A2,'2023.12'!$A$2:$B$26,2,FALSE)</f>
        <v>37</v>
      </c>
      <c r="I2">
        <f>VLOOKUP($A2,'2024.01'!$A$2:$B$26,2,FALSE)</f>
        <v>47</v>
      </c>
      <c r="J2">
        <f>VLOOKUP($A2,'2024.02'!$A$2:$B$26,2,FALSE)</f>
        <v>29</v>
      </c>
      <c r="K2">
        <f>VLOOKUP($A2,'2024.03'!$A$2:$B$26,2,FALSE)</f>
        <v>57</v>
      </c>
      <c r="L2">
        <f>VLOOKUP($A2,'2024.04'!$A$2:$B$26,2,FALSE)</f>
        <v>41</v>
      </c>
      <c r="M2">
        <f>VLOOKUP($A2,'2024.05'!$A$2:$B$27,2,FALSE)</f>
        <v>49</v>
      </c>
      <c r="N2">
        <f>VLOOKUP($A2,'2024.06'!$A$2:$B$27,2,FALSE)</f>
        <v>41</v>
      </c>
      <c r="O2">
        <f>VLOOKUP($A2,'2024.07'!$A$2:$B$27,2,FALSE)</f>
        <v>48</v>
      </c>
      <c r="P2">
        <f>VLOOKUP($A2,'2024.08'!$A$2:$B$28,2,FALSE)</f>
        <v>61</v>
      </c>
      <c r="Q2">
        <f>VLOOKUP($A2,'2024.09'!$A$2:$B$28,2,FALSE)</f>
        <v>58</v>
      </c>
      <c r="R2">
        <f>VLOOKUP($A2,'2024.10'!$A$2:$B$28,2,FALSE)</f>
        <v>60</v>
      </c>
      <c r="S2">
        <f>VLOOKUP($A2,'2024.11'!$A$2:$B$28,2,FALSE)</f>
        <v>52</v>
      </c>
      <c r="T2">
        <f>VLOOKUP($A2,'2024.12'!$A$2:$B$28,2,FALSE)</f>
        <v>37</v>
      </c>
      <c r="U2">
        <f>VLOOKUP($A2,'2025.01'!$A$2:$B$28,2,FALSE)</f>
        <v>50</v>
      </c>
      <c r="V2">
        <f>VLOOKUP($A2,'2025.02'!$A$2:$B$28,2,FALSE)</f>
        <v>52</v>
      </c>
      <c r="W2">
        <f>VLOOKUP($A2,'2025.03'!$A$2:$B$28,2,FALSE)</f>
        <v>61</v>
      </c>
      <c r="X2">
        <f>VLOOKUP($A2,'2025.04'!$A$2:$B$28,2,FALSE)</f>
        <v>44</v>
      </c>
      <c r="Y2">
        <f>VLOOKUP($A2,'2025.05'!$A$2:$B$28,2,FALSE)</f>
        <v>64</v>
      </c>
      <c r="Z2">
        <f>VLOOKUP($A2,'2025.06'!$A$2:$B$28,2,FALSE)</f>
        <v>38</v>
      </c>
      <c r="AA2">
        <f>VLOOKUP($A2,'2025.07'!$A$2:$B$28,2,FALSE)</f>
        <v>44</v>
      </c>
      <c r="AB2">
        <f>VLOOKUP($A2,'2025.08'!$A$2:$B$28,2,FALSE)</f>
        <v>43</v>
      </c>
      <c r="AC2">
        <f>VLOOKUP($A2,'2025.09'!$A$2:$B$28,2,FALSE)</f>
        <v>41</v>
      </c>
      <c r="AD2">
        <f>VLOOKUP($A2,'2025.10'!$A$2:$B$28,2,FALSE)</f>
        <v>44</v>
      </c>
      <c r="AE2">
        <f>VLOOKUP($A2,'2025.11'!$A$2:$B$28,2,FALSE)</f>
        <v>44</v>
      </c>
      <c r="AF2">
        <f>VLOOKUP($A2,'2025.12'!$A$2:$B$28,2,FALSE)</f>
        <v>60</v>
      </c>
      <c r="AG2">
        <f>VLOOKUP($A2,'2026.01'!$A$2:$B$28,2,FALSE)</f>
        <v>40</v>
      </c>
      <c r="AH2">
        <f>VLOOKUP($A2,'2026.02'!$A$2:$B$28,2,FALSE)</f>
        <v>27</v>
      </c>
      <c r="AI2">
        <f>VLOOKUP($A2,'2026.03'!$A$2:$B$28,2,FALSE)</f>
        <v>39</v>
      </c>
      <c r="AJ2">
        <f>VLOOKUP($A2,'2026.04'!$A$2:$B$28,2,FALSE)</f>
        <v>38</v>
      </c>
      <c r="AK2">
        <f>VLOOKUP($A2,'2026.05'!$A$2:$B$28,2,FALSE)</f>
        <v>44</v>
      </c>
    </row>
    <row r="3" spans="1:45" x14ac:dyDescent="0.3">
      <c r="A3" t="s">
        <v>98</v>
      </c>
      <c r="B3">
        <f t="shared" ref="B3:B28" si="0">SUM(F3:AS3)</f>
        <v>402</v>
      </c>
      <c r="C3" s="2">
        <f t="shared" ref="C3:C28" si="1">B3/B$30</f>
        <v>9.8966026587887737E-2</v>
      </c>
      <c r="D3">
        <f t="shared" ref="D3:D28" si="2">SUM(I3:T3)</f>
        <v>164</v>
      </c>
      <c r="E3">
        <f t="shared" ref="E3:E28" si="3">SUM(U3:AF3)</f>
        <v>146</v>
      </c>
      <c r="F3">
        <f>VLOOKUP($A3,'2023.10'!$A$2:$B$26,2,FALSE)</f>
        <v>16</v>
      </c>
      <c r="G3">
        <f>VLOOKUP($A3,'2023.11'!$A$2:$B$26,2,FALSE)</f>
        <v>13</v>
      </c>
      <c r="H3">
        <f>VLOOKUP($A3,'2023.12'!$A$2:$B$26,2,FALSE)</f>
        <v>17</v>
      </c>
      <c r="I3">
        <f>VLOOKUP($A3,'2024.01'!$A$2:$B$26,2,FALSE)</f>
        <v>11</v>
      </c>
      <c r="J3">
        <f>VLOOKUP($A3,'2024.02'!$A$2:$B$26,2,FALSE)</f>
        <v>13</v>
      </c>
      <c r="K3">
        <f>VLOOKUP($A3,'2024.03'!$A$2:$B$26,2,FALSE)</f>
        <v>15</v>
      </c>
      <c r="L3">
        <f>VLOOKUP($A3,'2024.04'!$A$2:$B$26,2,FALSE)</f>
        <v>20</v>
      </c>
      <c r="M3">
        <f>VLOOKUP($A3,'2024.05'!$A$2:$B$27,2,FALSE)</f>
        <v>21</v>
      </c>
      <c r="N3">
        <f>VLOOKUP($A3,'2024.06'!$A$2:$B$27,2,FALSE)</f>
        <v>8</v>
      </c>
      <c r="O3">
        <f>VLOOKUP($A3,'2024.07'!$A$2:$B$27,2,FALSE)</f>
        <v>6</v>
      </c>
      <c r="P3">
        <f>VLOOKUP($A3,'2024.08'!$A$2:$B$28,2,FALSE)</f>
        <v>10</v>
      </c>
      <c r="Q3">
        <f>VLOOKUP($A3,'2024.09'!$A$2:$B$28,2,FALSE)</f>
        <v>20</v>
      </c>
      <c r="R3">
        <f>VLOOKUP($A3,'2024.10'!$A$2:$B$28,2,FALSE)</f>
        <v>11</v>
      </c>
      <c r="S3">
        <f>VLOOKUP($A3,'2024.11'!$A$2:$B$28,2,FALSE)</f>
        <v>15</v>
      </c>
      <c r="T3">
        <f>VLOOKUP($A3,'2024.12'!$A$2:$B$28,2,FALSE)</f>
        <v>14</v>
      </c>
      <c r="U3">
        <f>VLOOKUP($A3,'2025.01'!$A$2:$B$28,2,FALSE)</f>
        <v>13</v>
      </c>
      <c r="V3">
        <f>VLOOKUP($A3,'2025.02'!$A$2:$B$28,2,FALSE)</f>
        <v>15</v>
      </c>
      <c r="W3">
        <f>VLOOKUP($A3,'2025.03'!$A$2:$B$28,2,FALSE)</f>
        <v>20</v>
      </c>
      <c r="X3">
        <f>VLOOKUP($A3,'2025.04'!$A$2:$B$28,2,FALSE)</f>
        <v>8</v>
      </c>
      <c r="Y3">
        <f>VLOOKUP($A3,'2025.05'!$A$2:$B$28,2,FALSE)</f>
        <v>8</v>
      </c>
      <c r="Z3">
        <f>VLOOKUP($A3,'2025.06'!$A$2:$B$28,2,FALSE)</f>
        <v>12</v>
      </c>
      <c r="AA3">
        <f>VLOOKUP($A3,'2025.07'!$A$2:$B$28,2,FALSE)</f>
        <v>13</v>
      </c>
      <c r="AB3">
        <f>VLOOKUP($A3,'2025.08'!$A$2:$B$28,2,FALSE)</f>
        <v>14</v>
      </c>
      <c r="AC3">
        <f>VLOOKUP($A3,'2025.09'!$A$2:$B$28,2,FALSE)</f>
        <v>10</v>
      </c>
      <c r="AD3">
        <f>VLOOKUP($A3,'2025.10'!$A$2:$B$28,2,FALSE)</f>
        <v>15</v>
      </c>
      <c r="AE3">
        <f>VLOOKUP($A3,'2025.11'!$A$2:$B$28,2,FALSE)</f>
        <v>8</v>
      </c>
      <c r="AF3">
        <f>VLOOKUP($A3,'2025.12'!$A$2:$B$28,2,FALSE)</f>
        <v>10</v>
      </c>
      <c r="AG3">
        <f>VLOOKUP($A3,'2026.01'!$A$2:$B$28,2,FALSE)</f>
        <v>9</v>
      </c>
      <c r="AH3">
        <f>VLOOKUP($A3,'2026.02'!$A$2:$B$28,2,FALSE)</f>
        <v>12</v>
      </c>
      <c r="AI3">
        <f>VLOOKUP($A3,'2026.03'!$A$2:$B$28,2,FALSE)</f>
        <v>7</v>
      </c>
      <c r="AJ3">
        <f>VLOOKUP($A3,'2026.04'!$A$2:$B$28,2,FALSE)</f>
        <v>9</v>
      </c>
      <c r="AK3">
        <f>VLOOKUP($A3,'2026.05'!$A$2:$B$28,2,FALSE)</f>
        <v>9</v>
      </c>
    </row>
    <row r="4" spans="1:45" x14ac:dyDescent="0.3">
      <c r="A4" t="s">
        <v>103</v>
      </c>
      <c r="B4">
        <f t="shared" si="0"/>
        <v>343</v>
      </c>
      <c r="C4" s="2">
        <f t="shared" si="1"/>
        <v>8.4441161989167901E-2</v>
      </c>
      <c r="D4">
        <f t="shared" si="2"/>
        <v>165</v>
      </c>
      <c r="E4">
        <f t="shared" si="3"/>
        <v>121</v>
      </c>
      <c r="F4">
        <f>VLOOKUP($A4,'2023.10'!$A$2:$B$26,2,FALSE)</f>
        <v>11</v>
      </c>
      <c r="G4">
        <f>VLOOKUP($A4,'2023.11'!$A$2:$B$26,2,FALSE)</f>
        <v>11</v>
      </c>
      <c r="H4">
        <f>VLOOKUP($A4,'2023.12'!$A$2:$B$26,2,FALSE)</f>
        <v>12</v>
      </c>
      <c r="I4">
        <f>VLOOKUP($A4,'2024.01'!$A$2:$B$26,2,FALSE)</f>
        <v>8</v>
      </c>
      <c r="J4">
        <f>VLOOKUP($A4,'2024.02'!$A$2:$B$26,2,FALSE)</f>
        <v>5</v>
      </c>
      <c r="K4">
        <f>VLOOKUP($A4,'2024.03'!$A$2:$B$26,2,FALSE)</f>
        <v>13</v>
      </c>
      <c r="L4">
        <f>VLOOKUP($A4,'2024.04'!$A$2:$B$26,2,FALSE)</f>
        <v>11</v>
      </c>
      <c r="M4">
        <f>VLOOKUP($A4,'2024.05'!$A$2:$B$27,2,FALSE)</f>
        <v>14</v>
      </c>
      <c r="N4">
        <f>VLOOKUP($A4,'2024.06'!$A$2:$B$27,2,FALSE)</f>
        <v>25</v>
      </c>
      <c r="O4">
        <f>VLOOKUP($A4,'2024.07'!$A$2:$B$27,2,FALSE)</f>
        <v>20</v>
      </c>
      <c r="P4">
        <f>VLOOKUP($A4,'2024.08'!$A$2:$B$28,2,FALSE)</f>
        <v>13</v>
      </c>
      <c r="Q4">
        <f>VLOOKUP($A4,'2024.09'!$A$2:$B$28,2,FALSE)</f>
        <v>13</v>
      </c>
      <c r="R4">
        <f>VLOOKUP($A4,'2024.10'!$A$2:$B$28,2,FALSE)</f>
        <v>15</v>
      </c>
      <c r="S4">
        <f>VLOOKUP($A4,'2024.11'!$A$2:$B$28,2,FALSE)</f>
        <v>9</v>
      </c>
      <c r="T4">
        <f>VLOOKUP($A4,'2024.12'!$A$2:$B$28,2,FALSE)</f>
        <v>19</v>
      </c>
      <c r="U4">
        <f>VLOOKUP($A4,'2025.01'!$A$2:$B$28,2,FALSE)</f>
        <v>12</v>
      </c>
      <c r="V4">
        <f>VLOOKUP($A4,'2025.02'!$A$2:$B$28,2,FALSE)</f>
        <v>9</v>
      </c>
      <c r="W4">
        <f>VLOOKUP($A4,'2025.03'!$A$2:$B$28,2,FALSE)</f>
        <v>11</v>
      </c>
      <c r="X4">
        <f>VLOOKUP($A4,'2025.04'!$A$2:$B$28,2,FALSE)</f>
        <v>8</v>
      </c>
      <c r="Y4">
        <f>VLOOKUP($A4,'2025.05'!$A$2:$B$28,2,FALSE)</f>
        <v>8</v>
      </c>
      <c r="Z4">
        <f>VLOOKUP($A4,'2025.06'!$A$2:$B$28,2,FALSE)</f>
        <v>7</v>
      </c>
      <c r="AA4">
        <f>VLOOKUP($A4,'2025.07'!$A$2:$B$28,2,FALSE)</f>
        <v>17</v>
      </c>
      <c r="AB4">
        <f>VLOOKUP($A4,'2025.08'!$A$2:$B$28,2,FALSE)</f>
        <v>12</v>
      </c>
      <c r="AC4">
        <f>VLOOKUP($A4,'2025.09'!$A$2:$B$28,2,FALSE)</f>
        <v>5</v>
      </c>
      <c r="AD4">
        <f>VLOOKUP($A4,'2025.10'!$A$2:$B$28,2,FALSE)</f>
        <v>13</v>
      </c>
      <c r="AE4">
        <f>VLOOKUP($A4,'2025.11'!$A$2:$B$28,2,FALSE)</f>
        <v>10</v>
      </c>
      <c r="AF4">
        <f>VLOOKUP($A4,'2025.12'!$A$2:$B$28,2,FALSE)</f>
        <v>9</v>
      </c>
      <c r="AG4">
        <f>VLOOKUP($A4,'2026.01'!$A$2:$B$28,2,FALSE)</f>
        <v>7</v>
      </c>
      <c r="AH4">
        <f>VLOOKUP($A4,'2026.02'!$A$2:$B$28,2,FALSE)</f>
        <v>1</v>
      </c>
      <c r="AI4">
        <f>VLOOKUP($A4,'2026.03'!$A$2:$B$28,2,FALSE)</f>
        <v>5</v>
      </c>
      <c r="AJ4">
        <f>VLOOKUP($A4,'2026.04'!$A$2:$B$28,2,FALSE)</f>
        <v>4</v>
      </c>
      <c r="AK4">
        <f>VLOOKUP($A4,'2026.05'!$A$2:$B$28,2,FALSE)</f>
        <v>6</v>
      </c>
    </row>
    <row r="5" spans="1:45" x14ac:dyDescent="0.3">
      <c r="A5" t="s">
        <v>99</v>
      </c>
      <c r="B5">
        <f t="shared" si="0"/>
        <v>343</v>
      </c>
      <c r="C5" s="2">
        <f t="shared" si="1"/>
        <v>8.4441161989167901E-2</v>
      </c>
      <c r="D5">
        <f t="shared" si="2"/>
        <v>151</v>
      </c>
      <c r="E5">
        <f t="shared" si="3"/>
        <v>139</v>
      </c>
      <c r="F5">
        <f>VLOOKUP($A5,'2023.10'!$A$2:$B$26,2,FALSE)</f>
        <v>7</v>
      </c>
      <c r="G5">
        <f>VLOOKUP($A5,'2023.11'!$A$2:$B$26,2,FALSE)</f>
        <v>6</v>
      </c>
      <c r="H5">
        <f>VLOOKUP($A5,'2023.12'!$A$2:$B$26,2,FALSE)</f>
        <v>13</v>
      </c>
      <c r="I5">
        <f>VLOOKUP($A5,'2024.01'!$A$2:$B$26,2,FALSE)</f>
        <v>7</v>
      </c>
      <c r="J5">
        <f>VLOOKUP($A5,'2024.02'!$A$2:$B$26,2,FALSE)</f>
        <v>10</v>
      </c>
      <c r="K5">
        <f>VLOOKUP($A5,'2024.03'!$A$2:$B$26,2,FALSE)</f>
        <v>21</v>
      </c>
      <c r="L5">
        <f>VLOOKUP($A5,'2024.04'!$A$2:$B$26,2,FALSE)</f>
        <v>8</v>
      </c>
      <c r="M5">
        <f>VLOOKUP($A5,'2024.05'!$A$2:$B$27,2,FALSE)</f>
        <v>13</v>
      </c>
      <c r="N5">
        <f>VLOOKUP($A5,'2024.06'!$A$2:$B$27,2,FALSE)</f>
        <v>13</v>
      </c>
      <c r="O5">
        <f>VLOOKUP($A5,'2024.07'!$A$2:$B$27,2,FALSE)</f>
        <v>14</v>
      </c>
      <c r="P5">
        <f>VLOOKUP($A5,'2024.08'!$A$2:$B$28,2,FALSE)</f>
        <v>15</v>
      </c>
      <c r="Q5">
        <f>VLOOKUP($A5,'2024.09'!$A$2:$B$28,2,FALSE)</f>
        <v>12</v>
      </c>
      <c r="R5">
        <f>VLOOKUP($A5,'2024.10'!$A$2:$B$28,2,FALSE)</f>
        <v>14</v>
      </c>
      <c r="S5">
        <f>VLOOKUP($A5,'2024.11'!$A$2:$B$28,2,FALSE)</f>
        <v>16</v>
      </c>
      <c r="T5">
        <f>VLOOKUP($A5,'2024.12'!$A$2:$B$28,2,FALSE)</f>
        <v>8</v>
      </c>
      <c r="U5">
        <f>VLOOKUP($A5,'2025.01'!$A$2:$B$28,2,FALSE)</f>
        <v>10</v>
      </c>
      <c r="V5">
        <f>VLOOKUP($A5,'2025.02'!$A$2:$B$28,2,FALSE)</f>
        <v>12</v>
      </c>
      <c r="W5">
        <f>VLOOKUP($A5,'2025.03'!$A$2:$B$28,2,FALSE)</f>
        <v>19</v>
      </c>
      <c r="X5">
        <f>VLOOKUP($A5,'2025.04'!$A$2:$B$28,2,FALSE)</f>
        <v>12</v>
      </c>
      <c r="Y5">
        <f>VLOOKUP($A5,'2025.05'!$A$2:$B$28,2,FALSE)</f>
        <v>16</v>
      </c>
      <c r="Z5">
        <f>VLOOKUP($A5,'2025.06'!$A$2:$B$28,2,FALSE)</f>
        <v>14</v>
      </c>
      <c r="AA5">
        <f>VLOOKUP($A5,'2025.07'!$A$2:$B$28,2,FALSE)</f>
        <v>16</v>
      </c>
      <c r="AB5">
        <f>VLOOKUP($A5,'2025.08'!$A$2:$B$28,2,FALSE)</f>
        <v>17</v>
      </c>
      <c r="AC5">
        <f>VLOOKUP($A5,'2025.09'!$A$2:$B$28,2,FALSE)</f>
        <v>12</v>
      </c>
      <c r="AD5">
        <f>VLOOKUP($A5,'2025.10'!$A$2:$B$28,2,FALSE)</f>
        <v>6</v>
      </c>
      <c r="AE5">
        <f>VLOOKUP($A5,'2025.11'!$A$2:$B$28,2,FALSE)</f>
        <v>3</v>
      </c>
      <c r="AF5">
        <f>VLOOKUP($A5,'2025.12'!$A$2:$B$28,2,FALSE)</f>
        <v>2</v>
      </c>
      <c r="AG5">
        <f>VLOOKUP($A5,'2026.01'!$A$2:$B$28,2,FALSE)</f>
        <v>2</v>
      </c>
      <c r="AH5">
        <f>VLOOKUP($A5,'2026.02'!$A$2:$B$28,2,FALSE)</f>
        <v>10</v>
      </c>
      <c r="AI5">
        <f>VLOOKUP($A5,'2026.03'!$A$2:$B$28,2,FALSE)</f>
        <v>2</v>
      </c>
      <c r="AJ5">
        <f>VLOOKUP($A5,'2026.04'!$A$2:$B$28,2,FALSE)</f>
        <v>4</v>
      </c>
      <c r="AK5">
        <f>VLOOKUP($A5,'2026.05'!$A$2:$B$28,2,FALSE)</f>
        <v>9</v>
      </c>
    </row>
    <row r="6" spans="1:45" x14ac:dyDescent="0.3">
      <c r="A6" t="s">
        <v>97</v>
      </c>
      <c r="B6">
        <f t="shared" si="0"/>
        <v>192</v>
      </c>
      <c r="C6" s="2">
        <f t="shared" si="1"/>
        <v>4.7267355982274745E-2</v>
      </c>
      <c r="D6">
        <f t="shared" si="2"/>
        <v>86</v>
      </c>
      <c r="E6">
        <f t="shared" si="3"/>
        <v>54</v>
      </c>
      <c r="F6">
        <f>VLOOKUP($A6,'2023.10'!$A$2:$B$26,2,FALSE)</f>
        <v>9</v>
      </c>
      <c r="G6">
        <f>VLOOKUP($A6,'2023.11'!$A$2:$B$26,2,FALSE)</f>
        <v>12</v>
      </c>
      <c r="H6">
        <f>VLOOKUP($A6,'2023.12'!$A$2:$B$26,2,FALSE)</f>
        <v>7</v>
      </c>
      <c r="I6">
        <f>VLOOKUP($A6,'2024.01'!$A$2:$B$26,2,FALSE)</f>
        <v>7</v>
      </c>
      <c r="J6">
        <f>VLOOKUP($A6,'2024.02'!$A$2:$B$26,2,FALSE)</f>
        <v>5</v>
      </c>
      <c r="K6">
        <f>VLOOKUP($A6,'2024.03'!$A$2:$B$26,2,FALSE)</f>
        <v>14</v>
      </c>
      <c r="L6">
        <f>VLOOKUP($A6,'2024.04'!$A$2:$B$26,2,FALSE)</f>
        <v>6</v>
      </c>
      <c r="M6">
        <f>VLOOKUP($A6,'2024.05'!$A$2:$B$27,2,FALSE)</f>
        <v>8</v>
      </c>
      <c r="N6">
        <f>VLOOKUP($A6,'2024.06'!$A$2:$B$27,2,FALSE)</f>
        <v>4</v>
      </c>
      <c r="O6">
        <f>VLOOKUP($A6,'2024.07'!$A$2:$B$27,2,FALSE)</f>
        <v>9</v>
      </c>
      <c r="P6">
        <f>VLOOKUP($A6,'2024.08'!$A$2:$B$28,2,FALSE)</f>
        <v>8</v>
      </c>
      <c r="Q6">
        <f>VLOOKUP($A6,'2024.09'!$A$2:$B$28,2,FALSE)</f>
        <v>7</v>
      </c>
      <c r="R6">
        <f>VLOOKUP($A6,'2024.10'!$A$2:$B$28,2,FALSE)</f>
        <v>7</v>
      </c>
      <c r="S6">
        <f>VLOOKUP($A6,'2024.11'!$A$2:$B$28,2,FALSE)</f>
        <v>6</v>
      </c>
      <c r="T6">
        <f>VLOOKUP($A6,'2024.12'!$A$2:$B$28,2,FALSE)</f>
        <v>5</v>
      </c>
      <c r="U6">
        <f>VLOOKUP($A6,'2025.01'!$A$2:$B$28,2,FALSE)</f>
        <v>2</v>
      </c>
      <c r="V6">
        <f>VLOOKUP($A6,'2025.02'!$A$2:$B$28,2,FALSE)</f>
        <v>13</v>
      </c>
      <c r="W6">
        <f>VLOOKUP($A6,'2025.03'!$A$2:$B$28,2,FALSE)</f>
        <v>7</v>
      </c>
      <c r="X6">
        <f>VLOOKUP($A6,'2025.04'!$A$2:$B$28,2,FALSE)</f>
        <v>2</v>
      </c>
      <c r="Y6">
        <f>VLOOKUP($A6,'2025.05'!$A$2:$B$28,2,FALSE)</f>
        <v>3</v>
      </c>
      <c r="Z6">
        <f>VLOOKUP($A6,'2025.06'!$A$2:$B$28,2,FALSE)</f>
        <v>3</v>
      </c>
      <c r="AA6">
        <f>VLOOKUP($A6,'2025.07'!$A$2:$B$28,2,FALSE)</f>
        <v>3</v>
      </c>
      <c r="AB6">
        <f>VLOOKUP($A6,'2025.08'!$A$2:$B$28,2,FALSE)</f>
        <v>3</v>
      </c>
      <c r="AC6">
        <f>VLOOKUP($A6,'2025.09'!$A$2:$B$28,2,FALSE)</f>
        <v>3</v>
      </c>
      <c r="AD6">
        <f>VLOOKUP($A6,'2025.10'!$A$2:$B$28,2,FALSE)</f>
        <v>6</v>
      </c>
      <c r="AE6">
        <f>VLOOKUP($A6,'2025.11'!$A$2:$B$28,2,FALSE)</f>
        <v>2</v>
      </c>
      <c r="AF6">
        <f>VLOOKUP($A6,'2025.12'!$A$2:$B$28,2,FALSE)</f>
        <v>7</v>
      </c>
      <c r="AG6">
        <f>VLOOKUP($A6,'2026.01'!$A$2:$B$28,2,FALSE)</f>
        <v>7</v>
      </c>
      <c r="AH6">
        <f>VLOOKUP($A6,'2026.02'!$A$2:$B$28,2,FALSE)</f>
        <v>10</v>
      </c>
      <c r="AI6">
        <f>VLOOKUP($A6,'2026.03'!$A$2:$B$28,2,FALSE)</f>
        <v>1</v>
      </c>
      <c r="AJ6">
        <f>VLOOKUP($A6,'2026.04'!$A$2:$B$28,2,FALSE)</f>
        <v>3</v>
      </c>
      <c r="AK6">
        <f>VLOOKUP($A6,'2026.05'!$A$2:$B$28,2,FALSE)</f>
        <v>3</v>
      </c>
    </row>
    <row r="7" spans="1:45" x14ac:dyDescent="0.3">
      <c r="A7" t="s">
        <v>105</v>
      </c>
      <c r="B7">
        <f t="shared" si="0"/>
        <v>178</v>
      </c>
      <c r="C7" s="2">
        <f t="shared" si="1"/>
        <v>4.3820777941900542E-2</v>
      </c>
      <c r="D7">
        <f t="shared" si="2"/>
        <v>76</v>
      </c>
      <c r="E7">
        <f t="shared" si="3"/>
        <v>52</v>
      </c>
      <c r="F7">
        <f>VLOOKUP($A7,'2023.10'!$A$2:$B$26,2,FALSE)</f>
        <v>8</v>
      </c>
      <c r="G7">
        <f>VLOOKUP($A7,'2023.11'!$A$2:$B$26,2,FALSE)</f>
        <v>6</v>
      </c>
      <c r="H7">
        <f>VLOOKUP($A7,'2023.12'!$A$2:$B$26,2,FALSE)</f>
        <v>11</v>
      </c>
      <c r="I7">
        <f>VLOOKUP($A7,'2024.01'!$A$2:$B$26,2,FALSE)</f>
        <v>12</v>
      </c>
      <c r="J7">
        <f>VLOOKUP($A7,'2024.02'!$A$2:$B$26,2,FALSE)</f>
        <v>8</v>
      </c>
      <c r="K7">
        <f>VLOOKUP($A7,'2024.03'!$A$2:$B$26,2,FALSE)</f>
        <v>4</v>
      </c>
      <c r="L7">
        <f>VLOOKUP($A7,'2024.04'!$A$2:$B$26,2,FALSE)</f>
        <v>4</v>
      </c>
      <c r="M7">
        <f>VLOOKUP($A7,'2024.05'!$A$2:$B$27,2,FALSE)</f>
        <v>7</v>
      </c>
      <c r="N7">
        <f>VLOOKUP($A7,'2024.06'!$A$2:$B$27,2,FALSE)</f>
        <v>14</v>
      </c>
      <c r="O7">
        <f>VLOOKUP($A7,'2024.07'!$A$2:$B$27,2,FALSE)</f>
        <v>8</v>
      </c>
      <c r="P7">
        <f>VLOOKUP($A7,'2024.08'!$A$2:$B$28,2,FALSE)</f>
        <v>5</v>
      </c>
      <c r="Q7">
        <f>VLOOKUP($A7,'2024.09'!$A$2:$B$28,2,FALSE)</f>
        <v>7</v>
      </c>
      <c r="R7">
        <f>VLOOKUP($A7,'2024.10'!$A$2:$B$28,2,FALSE)</f>
        <v>3</v>
      </c>
      <c r="S7">
        <f>VLOOKUP($A7,'2024.11'!$A$2:$B$28,2,FALSE)</f>
        <v>3</v>
      </c>
      <c r="T7">
        <f>VLOOKUP($A7,'2024.12'!$A$2:$B$28,2,FALSE)</f>
        <v>1</v>
      </c>
      <c r="U7">
        <f>VLOOKUP($A7,'2025.01'!$A$2:$B$28,2,FALSE)</f>
        <v>1</v>
      </c>
      <c r="V7">
        <f>VLOOKUP($A7,'2025.02'!$A$2:$B$28,2,FALSE)</f>
        <v>1</v>
      </c>
      <c r="W7">
        <f>VLOOKUP($A7,'2025.03'!$A$2:$B$28,2,FALSE)</f>
        <v>1</v>
      </c>
      <c r="X7">
        <f>VLOOKUP($A7,'2025.04'!$A$2:$B$28,2,FALSE)</f>
        <v>2</v>
      </c>
      <c r="Y7">
        <f>VLOOKUP($A7,'2025.05'!$A$2:$B$28,2,FALSE)</f>
        <v>3</v>
      </c>
      <c r="Z7">
        <f>VLOOKUP($A7,'2025.06'!$A$2:$B$28,2,FALSE)</f>
        <v>3</v>
      </c>
      <c r="AA7">
        <f>VLOOKUP($A7,'2025.07'!$A$2:$B$28,2,FALSE)</f>
        <v>6</v>
      </c>
      <c r="AB7">
        <f>VLOOKUP($A7,'2025.08'!$A$2:$B$28,2,FALSE)</f>
        <v>15</v>
      </c>
      <c r="AC7">
        <f>VLOOKUP($A7,'2025.09'!$A$2:$B$28,2,FALSE)</f>
        <v>7</v>
      </c>
      <c r="AD7">
        <f>VLOOKUP($A7,'2025.10'!$A$2:$B$28,2,FALSE)</f>
        <v>3</v>
      </c>
      <c r="AE7">
        <f>VLOOKUP($A7,'2025.11'!$A$2:$B$28,2,FALSE)</f>
        <v>5</v>
      </c>
      <c r="AF7">
        <f>VLOOKUP($A7,'2025.12'!$A$2:$B$28,2,FALSE)</f>
        <v>5</v>
      </c>
      <c r="AG7">
        <f>VLOOKUP($A7,'2026.01'!$A$2:$B$28,2,FALSE)</f>
        <v>5</v>
      </c>
      <c r="AH7">
        <f>VLOOKUP($A7,'2026.02'!$A$2:$B$28,2,FALSE)</f>
        <v>1</v>
      </c>
      <c r="AI7">
        <f>VLOOKUP($A7,'2026.03'!$A$2:$B$28,2,FALSE)</f>
        <v>4</v>
      </c>
      <c r="AJ7">
        <f>VLOOKUP($A7,'2026.04'!$A$2:$B$28,2,FALSE)</f>
        <v>11</v>
      </c>
      <c r="AK7">
        <f>VLOOKUP($A7,'2026.05'!$A$2:$B$28,2,FALSE)</f>
        <v>4</v>
      </c>
    </row>
    <row r="8" spans="1:45" x14ac:dyDescent="0.3">
      <c r="A8" t="s">
        <v>100</v>
      </c>
      <c r="B8">
        <f t="shared" si="0"/>
        <v>192</v>
      </c>
      <c r="C8" s="2">
        <f t="shared" si="1"/>
        <v>4.7267355982274745E-2</v>
      </c>
      <c r="D8">
        <f t="shared" si="2"/>
        <v>84</v>
      </c>
      <c r="E8">
        <f t="shared" si="3"/>
        <v>66</v>
      </c>
      <c r="F8">
        <f>VLOOKUP($A8,'2023.10'!$A$2:$B$26,2,FALSE)</f>
        <v>8</v>
      </c>
      <c r="G8">
        <f>VLOOKUP($A8,'2023.11'!$A$2:$B$26,2,FALSE)</f>
        <v>2</v>
      </c>
      <c r="H8">
        <f>VLOOKUP($A8,'2023.12'!$A$2:$B$26,2,FALSE)</f>
        <v>6</v>
      </c>
      <c r="I8">
        <f>VLOOKUP($A8,'2024.01'!$A$2:$B$26,2,FALSE)</f>
        <v>6</v>
      </c>
      <c r="J8">
        <f>VLOOKUP($A8,'2024.02'!$A$2:$B$26,2,FALSE)</f>
        <v>6</v>
      </c>
      <c r="K8">
        <f>VLOOKUP($A8,'2024.03'!$A$2:$B$26,2,FALSE)</f>
        <v>8</v>
      </c>
      <c r="L8">
        <f>VLOOKUP($A8,'2024.04'!$A$2:$B$26,2,FALSE)</f>
        <v>12</v>
      </c>
      <c r="M8">
        <f>VLOOKUP($A8,'2024.05'!$A$2:$B$27,2,FALSE)</f>
        <v>10</v>
      </c>
      <c r="N8">
        <f>VLOOKUP($A8,'2024.06'!$A$2:$B$27,2,FALSE)</f>
        <v>13</v>
      </c>
      <c r="O8">
        <f>VLOOKUP($A8,'2024.07'!$A$2:$B$27,2,FALSE)</f>
        <v>6</v>
      </c>
      <c r="P8">
        <f>VLOOKUP($A8,'2024.08'!$A$2:$B$28,2,FALSE)</f>
        <v>9</v>
      </c>
      <c r="Q8">
        <f>VLOOKUP($A8,'2024.09'!$A$2:$B$28,2,FALSE)</f>
        <v>3</v>
      </c>
      <c r="R8">
        <f>VLOOKUP($A8,'2024.10'!$A$2:$B$28,2,FALSE)</f>
        <v>2</v>
      </c>
      <c r="S8">
        <f>VLOOKUP($A8,'2024.11'!$A$2:$B$28,2,FALSE)</f>
        <v>3</v>
      </c>
      <c r="T8">
        <f>VLOOKUP($A8,'2024.12'!$A$2:$B$28,2,FALSE)</f>
        <v>6</v>
      </c>
      <c r="U8">
        <f>VLOOKUP($A8,'2025.01'!$A$2:$B$28,2,FALSE)</f>
        <v>3</v>
      </c>
      <c r="V8">
        <f>VLOOKUP($A8,'2025.02'!$A$2:$B$28,2,FALSE)</f>
        <v>4</v>
      </c>
      <c r="W8">
        <f>VLOOKUP($A8,'2025.03'!$A$2:$B$28,2,FALSE)</f>
        <v>8</v>
      </c>
      <c r="X8">
        <f>VLOOKUP($A8,'2025.04'!$A$2:$B$28,2,FALSE)</f>
        <v>6</v>
      </c>
      <c r="Y8">
        <f>VLOOKUP($A8,'2025.05'!$A$2:$B$28,2,FALSE)</f>
        <v>11</v>
      </c>
      <c r="Z8">
        <f>VLOOKUP($A8,'2025.06'!$A$2:$B$28,2,FALSE)</f>
        <v>3</v>
      </c>
      <c r="AA8">
        <f>VLOOKUP($A8,'2025.07'!$A$2:$B$28,2,FALSE)</f>
        <v>5</v>
      </c>
      <c r="AB8">
        <f>VLOOKUP($A8,'2025.08'!$A$2:$B$28,2,FALSE)</f>
        <v>8</v>
      </c>
      <c r="AC8">
        <f>VLOOKUP($A8,'2025.09'!$A$2:$B$28,2,FALSE)</f>
        <v>4</v>
      </c>
      <c r="AD8">
        <f>VLOOKUP($A8,'2025.10'!$A$2:$B$28,2,FALSE)</f>
        <v>7</v>
      </c>
      <c r="AE8">
        <f>VLOOKUP($A8,'2025.11'!$A$2:$B$28,2,FALSE)</f>
        <v>1</v>
      </c>
      <c r="AF8">
        <f>VLOOKUP($A8,'2025.12'!$A$2:$B$28,2,FALSE)</f>
        <v>6</v>
      </c>
      <c r="AG8">
        <f>VLOOKUP($A8,'2026.01'!$A$2:$B$28,2,FALSE)</f>
        <v>6</v>
      </c>
      <c r="AH8">
        <f>VLOOKUP($A8,'2026.02'!$A$2:$B$28,2,FALSE)</f>
        <v>2</v>
      </c>
      <c r="AI8">
        <f>VLOOKUP($A8,'2026.03'!$A$2:$B$28,2,FALSE)</f>
        <v>3</v>
      </c>
      <c r="AJ8">
        <f>VLOOKUP($A8,'2026.04'!$A$2:$B$28,2,FALSE)</f>
        <v>13</v>
      </c>
      <c r="AK8">
        <f>VLOOKUP($A8,'2026.05'!$A$2:$B$28,2,FALSE)</f>
        <v>2</v>
      </c>
    </row>
    <row r="9" spans="1:45" x14ac:dyDescent="0.3">
      <c r="A9" t="s">
        <v>102</v>
      </c>
      <c r="B9">
        <f t="shared" si="0"/>
        <v>86</v>
      </c>
      <c r="C9" s="2">
        <f t="shared" si="1"/>
        <v>2.1171836533727229E-2</v>
      </c>
      <c r="D9">
        <f t="shared" si="2"/>
        <v>56</v>
      </c>
      <c r="E9">
        <f t="shared" si="3"/>
        <v>20</v>
      </c>
      <c r="F9">
        <f>VLOOKUP($A9,'2023.10'!$A$2:$B$26,2,FALSE)</f>
        <v>1</v>
      </c>
      <c r="G9">
        <f>VLOOKUP($A9,'2023.11'!$A$2:$B$26,2,FALSE)</f>
        <v>4</v>
      </c>
      <c r="H9">
        <f>VLOOKUP($A9,'2023.12'!$A$2:$B$26,2,FALSE)</f>
        <v>5</v>
      </c>
      <c r="I9">
        <f>VLOOKUP($A9,'2024.01'!$A$2:$B$26,2,FALSE)</f>
        <v>6</v>
      </c>
      <c r="J9">
        <f>VLOOKUP($A9,'2024.02'!$A$2:$B$26,2,FALSE)</f>
        <v>4</v>
      </c>
      <c r="K9">
        <f>VLOOKUP($A9,'2024.03'!$A$2:$B$26,2,FALSE)</f>
        <v>4</v>
      </c>
      <c r="L9">
        <f>VLOOKUP($A9,'2024.04'!$A$2:$B$26,2,FALSE)</f>
        <v>7</v>
      </c>
      <c r="M9">
        <f>VLOOKUP($A9,'2024.05'!$A$2:$B$27,2,FALSE)</f>
        <v>9</v>
      </c>
      <c r="N9">
        <f>VLOOKUP($A9,'2024.06'!$A$2:$B$27,2,FALSE)</f>
        <v>6</v>
      </c>
      <c r="O9">
        <f>VLOOKUP($A9,'2024.07'!$A$2:$B$27,2,FALSE)</f>
        <v>6</v>
      </c>
      <c r="P9">
        <f>VLOOKUP($A9,'2024.08'!$A$2:$B$28,2,FALSE)</f>
        <v>6</v>
      </c>
      <c r="Q9">
        <f>VLOOKUP($A9,'2024.09'!$A$2:$B$28,2,FALSE)</f>
        <v>4</v>
      </c>
      <c r="R9">
        <f>VLOOKUP($A9,'2024.10'!$A$2:$B$28,2,FALSE)</f>
        <v>1</v>
      </c>
      <c r="S9">
        <f>VLOOKUP($A9,'2024.11'!$A$2:$B$28,2,FALSE)</f>
        <v>1</v>
      </c>
      <c r="T9">
        <f>VLOOKUP($A9,'2024.12'!$A$2:$B$28,2,FALSE)</f>
        <v>2</v>
      </c>
      <c r="U9">
        <f>VLOOKUP($A9,'2025.01'!$A$2:$B$28,2,FALSE)</f>
        <v>0</v>
      </c>
      <c r="V9">
        <f>VLOOKUP($A9,'2025.02'!$A$2:$B$28,2,FALSE)</f>
        <v>3</v>
      </c>
      <c r="W9">
        <f>VLOOKUP($A9,'2025.03'!$A$2:$B$28,2,FALSE)</f>
        <v>2</v>
      </c>
      <c r="X9">
        <f>VLOOKUP($A9,'2025.04'!$A$2:$B$28,2,FALSE)</f>
        <v>2</v>
      </c>
      <c r="Y9">
        <f>VLOOKUP($A9,'2025.05'!$A$2:$B$28,2,FALSE)</f>
        <v>3</v>
      </c>
      <c r="Z9">
        <f>VLOOKUP($A9,'2025.06'!$A$2:$B$28,2,FALSE)</f>
        <v>2</v>
      </c>
      <c r="AA9">
        <f>VLOOKUP($A9,'2025.07'!$A$2:$B$28,2,FALSE)</f>
        <v>3</v>
      </c>
      <c r="AB9">
        <f>VLOOKUP($A9,'2025.08'!$A$2:$B$28,2,FALSE)</f>
        <v>3</v>
      </c>
      <c r="AC9">
        <f>VLOOKUP($A9,'2025.09'!$A$2:$B$28,2,FALSE)</f>
        <v>0</v>
      </c>
      <c r="AD9">
        <f>VLOOKUP($A9,'2025.10'!$A$2:$B$28,2,FALSE)</f>
        <v>2</v>
      </c>
      <c r="AE9">
        <f>VLOOKUP($A9,'2025.11'!$A$2:$B$28,2,FALSE)</f>
        <v>0</v>
      </c>
      <c r="AF9">
        <f>VLOOKUP($A9,'2025.12'!$A$2:$B$28,2,FALSE)</f>
        <v>0</v>
      </c>
      <c r="AG9">
        <f>VLOOKUP($A9,'2026.01'!$A$2:$B$28,2,FALSE)</f>
        <v>0</v>
      </c>
      <c r="AH9">
        <f>VLOOKUP($A9,'2026.02'!$A$2:$B$28,2,FALSE)</f>
        <v>0</v>
      </c>
      <c r="AI9">
        <f>VLOOKUP($A9,'2026.03'!$A$2:$B$28,2,FALSE)</f>
        <v>0</v>
      </c>
      <c r="AJ9">
        <f>VLOOKUP($A9,'2026.04'!$A$2:$B$28,2,FALSE)</f>
        <v>0</v>
      </c>
      <c r="AK9">
        <f>VLOOKUP($A9,'2026.05'!$A$2:$B$28,2,FALSE)</f>
        <v>0</v>
      </c>
    </row>
    <row r="10" spans="1:45" x14ac:dyDescent="0.3">
      <c r="A10" t="s">
        <v>109</v>
      </c>
      <c r="B10">
        <f t="shared" si="0"/>
        <v>95</v>
      </c>
      <c r="C10" s="2">
        <f t="shared" si="1"/>
        <v>2.3387493845396356E-2</v>
      </c>
      <c r="D10">
        <f t="shared" si="2"/>
        <v>41</v>
      </c>
      <c r="E10">
        <f t="shared" si="3"/>
        <v>28</v>
      </c>
      <c r="F10">
        <f>VLOOKUP($A10,'2023.10'!$A$2:$B$26,2,FALSE)</f>
        <v>3</v>
      </c>
      <c r="G10">
        <f>VLOOKUP($A10,'2023.11'!$A$2:$B$26,2,FALSE)</f>
        <v>5</v>
      </c>
      <c r="H10">
        <f>VLOOKUP($A10,'2023.12'!$A$2:$B$26,2,FALSE)</f>
        <v>3</v>
      </c>
      <c r="I10">
        <f>VLOOKUP($A10,'2024.01'!$A$2:$B$26,2,FALSE)</f>
        <v>10</v>
      </c>
      <c r="J10">
        <f>VLOOKUP($A10,'2024.02'!$A$2:$B$26,2,FALSE)</f>
        <v>7</v>
      </c>
      <c r="K10">
        <f>VLOOKUP($A10,'2024.03'!$A$2:$B$26,2,FALSE)</f>
        <v>6</v>
      </c>
      <c r="L10">
        <f>VLOOKUP($A10,'2024.04'!$A$2:$B$26,2,FALSE)</f>
        <v>7</v>
      </c>
      <c r="M10">
        <f>VLOOKUP($A10,'2024.05'!$A$2:$B$27,2,FALSE)</f>
        <v>2</v>
      </c>
      <c r="N10">
        <f>VLOOKUP($A10,'2024.06'!$A$2:$B$27,2,FALSE)</f>
        <v>5</v>
      </c>
      <c r="O10">
        <f>VLOOKUP($A10,'2024.07'!$A$2:$B$27,2,FALSE)</f>
        <v>1</v>
      </c>
      <c r="P10">
        <f>VLOOKUP($A10,'2024.08'!$A$2:$B$28,2,FALSE)</f>
        <v>1</v>
      </c>
      <c r="Q10">
        <f>VLOOKUP($A10,'2024.09'!$A$2:$B$28,2,FALSE)</f>
        <v>0</v>
      </c>
      <c r="R10">
        <f>VLOOKUP($A10,'2024.10'!$A$2:$B$28,2,FALSE)</f>
        <v>0</v>
      </c>
      <c r="S10">
        <f>VLOOKUP($A10,'2024.11'!$A$2:$B$28,2,FALSE)</f>
        <v>1</v>
      </c>
      <c r="T10">
        <f>VLOOKUP($A10,'2024.12'!$A$2:$B$28,2,FALSE)</f>
        <v>1</v>
      </c>
      <c r="U10">
        <f>VLOOKUP($A10,'2025.01'!$A$2:$B$28,2,FALSE)</f>
        <v>6</v>
      </c>
      <c r="V10">
        <f>VLOOKUP($A10,'2025.02'!$A$2:$B$28,2,FALSE)</f>
        <v>2</v>
      </c>
      <c r="W10">
        <f>VLOOKUP($A10,'2025.03'!$A$2:$B$28,2,FALSE)</f>
        <v>1</v>
      </c>
      <c r="X10">
        <f>VLOOKUP($A10,'2025.04'!$A$2:$B$28,2,FALSE)</f>
        <v>0</v>
      </c>
      <c r="Y10">
        <f>VLOOKUP($A10,'2025.05'!$A$2:$B$28,2,FALSE)</f>
        <v>1</v>
      </c>
      <c r="Z10">
        <f>VLOOKUP($A10,'2025.06'!$A$2:$B$28,2,FALSE)</f>
        <v>1</v>
      </c>
      <c r="AA10">
        <f>VLOOKUP($A10,'2025.07'!$A$2:$B$28,2,FALSE)</f>
        <v>4</v>
      </c>
      <c r="AB10">
        <f>VLOOKUP($A10,'2025.08'!$A$2:$B$28,2,FALSE)</f>
        <v>3</v>
      </c>
      <c r="AC10">
        <f>VLOOKUP($A10,'2025.09'!$A$2:$B$28,2,FALSE)</f>
        <v>4</v>
      </c>
      <c r="AD10">
        <f>VLOOKUP($A10,'2025.10'!$A$2:$B$28,2,FALSE)</f>
        <v>2</v>
      </c>
      <c r="AE10">
        <f>VLOOKUP($A10,'2025.11'!$A$2:$B$28,2,FALSE)</f>
        <v>2</v>
      </c>
      <c r="AF10">
        <f>VLOOKUP($A10,'2025.12'!$A$2:$B$28,2,FALSE)</f>
        <v>2</v>
      </c>
      <c r="AG10">
        <f>VLOOKUP($A10,'2026.01'!$A$2:$B$28,2,FALSE)</f>
        <v>2</v>
      </c>
      <c r="AH10">
        <f>VLOOKUP($A10,'2026.02'!$A$2:$B$28,2,FALSE)</f>
        <v>0</v>
      </c>
      <c r="AI10">
        <f>VLOOKUP($A10,'2026.03'!$A$2:$B$28,2,FALSE)</f>
        <v>3</v>
      </c>
      <c r="AJ10">
        <f>VLOOKUP($A10,'2026.04'!$A$2:$B$28,2,FALSE)</f>
        <v>4</v>
      </c>
      <c r="AK10">
        <f>VLOOKUP($A10,'2026.05'!$A$2:$B$28,2,FALSE)</f>
        <v>6</v>
      </c>
    </row>
    <row r="11" spans="1:45" x14ac:dyDescent="0.3">
      <c r="A11" t="s">
        <v>110</v>
      </c>
      <c r="B11">
        <f t="shared" si="0"/>
        <v>70</v>
      </c>
      <c r="C11" s="2">
        <f t="shared" si="1"/>
        <v>1.7232890201871E-2</v>
      </c>
      <c r="D11">
        <f t="shared" si="2"/>
        <v>48</v>
      </c>
      <c r="E11">
        <f t="shared" si="3"/>
        <v>9</v>
      </c>
      <c r="F11">
        <f>VLOOKUP($A11,'2023.10'!$A$2:$B$26,2,FALSE)</f>
        <v>3</v>
      </c>
      <c r="G11">
        <f>VLOOKUP($A11,'2023.11'!$A$2:$B$26,2,FALSE)</f>
        <v>3</v>
      </c>
      <c r="H11">
        <f>VLOOKUP($A11,'2023.12'!$A$2:$B$26,2,FALSE)</f>
        <v>2</v>
      </c>
      <c r="I11">
        <f>VLOOKUP($A11,'2024.01'!$A$2:$B$26,2,FALSE)</f>
        <v>1</v>
      </c>
      <c r="J11">
        <f>VLOOKUP($A11,'2024.02'!$A$2:$B$26,2,FALSE)</f>
        <v>1</v>
      </c>
      <c r="K11">
        <f>VLOOKUP($A11,'2024.03'!$A$2:$B$26,2,FALSE)</f>
        <v>9</v>
      </c>
      <c r="L11">
        <f>VLOOKUP($A11,'2024.04'!$A$2:$B$26,2,FALSE)</f>
        <v>3</v>
      </c>
      <c r="M11">
        <f>VLOOKUP($A11,'2024.05'!$A$2:$B$27,2,FALSE)</f>
        <v>4</v>
      </c>
      <c r="N11">
        <f>VLOOKUP($A11,'2024.06'!$A$2:$B$27,2,FALSE)</f>
        <v>5</v>
      </c>
      <c r="O11">
        <f>VLOOKUP($A11,'2024.07'!$A$2:$B$27,2,FALSE)</f>
        <v>6</v>
      </c>
      <c r="P11">
        <f>VLOOKUP($A11,'2024.08'!$A$2:$B$28,2,FALSE)</f>
        <v>6</v>
      </c>
      <c r="Q11">
        <f>VLOOKUP($A11,'2024.09'!$A$2:$B$28,2,FALSE)</f>
        <v>5</v>
      </c>
      <c r="R11">
        <f>VLOOKUP($A11,'2024.10'!$A$2:$B$28,2,FALSE)</f>
        <v>5</v>
      </c>
      <c r="S11">
        <f>VLOOKUP($A11,'2024.11'!$A$2:$B$28,2,FALSE)</f>
        <v>2</v>
      </c>
      <c r="T11">
        <f>VLOOKUP($A11,'2024.12'!$A$2:$B$28,2,FALSE)</f>
        <v>1</v>
      </c>
      <c r="U11">
        <f>VLOOKUP($A11,'2025.01'!$A$2:$B$28,2,FALSE)</f>
        <v>0</v>
      </c>
      <c r="V11">
        <f>VLOOKUP($A11,'2025.02'!$A$2:$B$28,2,FALSE)</f>
        <v>0</v>
      </c>
      <c r="W11">
        <f>VLOOKUP($A11,'2025.03'!$A$2:$B$28,2,FALSE)</f>
        <v>2</v>
      </c>
      <c r="X11">
        <f>VLOOKUP($A11,'2025.04'!$A$2:$B$28,2,FALSE)</f>
        <v>0</v>
      </c>
      <c r="Y11">
        <f>VLOOKUP($A11,'2025.05'!$A$2:$B$28,2,FALSE)</f>
        <v>0</v>
      </c>
      <c r="Z11">
        <f>VLOOKUP($A11,'2025.06'!$A$2:$B$28,2,FALSE)</f>
        <v>1</v>
      </c>
      <c r="AA11">
        <f>VLOOKUP($A11,'2025.07'!$A$2:$B$28,2,FALSE)</f>
        <v>1</v>
      </c>
      <c r="AB11">
        <f>VLOOKUP($A11,'2025.08'!$A$2:$B$28,2,FALSE)</f>
        <v>1</v>
      </c>
      <c r="AC11">
        <f>VLOOKUP($A11,'2025.09'!$A$2:$B$28,2,FALSE)</f>
        <v>1</v>
      </c>
      <c r="AD11">
        <f>VLOOKUP($A11,'2025.10'!$A$2:$B$28,2,FALSE)</f>
        <v>3</v>
      </c>
      <c r="AE11">
        <f>VLOOKUP($A11,'2025.11'!$A$2:$B$28,2,FALSE)</f>
        <v>0</v>
      </c>
      <c r="AF11">
        <f>VLOOKUP($A11,'2025.12'!$A$2:$B$28,2,FALSE)</f>
        <v>0</v>
      </c>
      <c r="AG11">
        <f>VLOOKUP($A11,'2026.01'!$A$2:$B$28,2,FALSE)</f>
        <v>0</v>
      </c>
      <c r="AH11">
        <f>VLOOKUP($A11,'2026.02'!$A$2:$B$28,2,FALSE)</f>
        <v>1</v>
      </c>
      <c r="AI11">
        <f>VLOOKUP($A11,'2026.03'!$A$2:$B$28,2,FALSE)</f>
        <v>1</v>
      </c>
      <c r="AJ11">
        <f>VLOOKUP($A11,'2026.04'!$A$2:$B$28,2,FALSE)</f>
        <v>3</v>
      </c>
      <c r="AK11">
        <f>VLOOKUP($A11,'2026.05'!$A$2:$B$28,2,FALSE)</f>
        <v>0</v>
      </c>
    </row>
    <row r="12" spans="1:45" x14ac:dyDescent="0.3">
      <c r="A12" t="s">
        <v>104</v>
      </c>
      <c r="B12">
        <f t="shared" si="0"/>
        <v>159</v>
      </c>
      <c r="C12" s="2">
        <f t="shared" si="1"/>
        <v>3.9143279172821267E-2</v>
      </c>
      <c r="D12">
        <f t="shared" si="2"/>
        <v>45</v>
      </c>
      <c r="E12">
        <f t="shared" si="3"/>
        <v>85</v>
      </c>
      <c r="F12">
        <f>VLOOKUP($A12,'2023.10'!$A$2:$B$26,2,FALSE)</f>
        <v>4</v>
      </c>
      <c r="G12">
        <f>VLOOKUP($A12,'2023.11'!$A$2:$B$26,2,FALSE)</f>
        <v>5</v>
      </c>
      <c r="H12">
        <f>VLOOKUP($A12,'2023.12'!$A$2:$B$26,2,FALSE)</f>
        <v>3</v>
      </c>
      <c r="I12">
        <f>VLOOKUP($A12,'2024.01'!$A$2:$B$26,2,FALSE)</f>
        <v>5</v>
      </c>
      <c r="J12">
        <f>VLOOKUP($A12,'2024.02'!$A$2:$B$26,2,FALSE)</f>
        <v>8</v>
      </c>
      <c r="K12">
        <f>VLOOKUP($A12,'2024.03'!$A$2:$B$26,2,FALSE)</f>
        <v>3</v>
      </c>
      <c r="L12">
        <f>VLOOKUP($A12,'2024.04'!$A$2:$B$26,2,FALSE)</f>
        <v>2</v>
      </c>
      <c r="M12">
        <f>VLOOKUP($A12,'2024.05'!$A$2:$B$27,2,FALSE)</f>
        <v>2</v>
      </c>
      <c r="N12">
        <f>VLOOKUP($A12,'2024.06'!$A$2:$B$27,2,FALSE)</f>
        <v>1</v>
      </c>
      <c r="O12">
        <f>VLOOKUP($A12,'2024.07'!$A$2:$B$27,2,FALSE)</f>
        <v>2</v>
      </c>
      <c r="P12">
        <f>VLOOKUP($A12,'2024.08'!$A$2:$B$28,2,FALSE)</f>
        <v>6</v>
      </c>
      <c r="Q12">
        <f>VLOOKUP($A12,'2024.09'!$A$2:$B$28,2,FALSE)</f>
        <v>4</v>
      </c>
      <c r="R12">
        <f>VLOOKUP($A12,'2024.10'!$A$2:$B$28,2,FALSE)</f>
        <v>2</v>
      </c>
      <c r="S12">
        <f>VLOOKUP($A12,'2024.11'!$A$2:$B$28,2,FALSE)</f>
        <v>6</v>
      </c>
      <c r="T12">
        <f>VLOOKUP($A12,'2024.12'!$A$2:$B$28,2,FALSE)</f>
        <v>4</v>
      </c>
      <c r="U12">
        <f>VLOOKUP($A12,'2025.01'!$A$2:$B$28,2,FALSE)</f>
        <v>4</v>
      </c>
      <c r="V12">
        <f>VLOOKUP($A12,'2025.02'!$A$2:$B$28,2,FALSE)</f>
        <v>11</v>
      </c>
      <c r="W12">
        <f>VLOOKUP($A12,'2025.03'!$A$2:$B$28,2,FALSE)</f>
        <v>7</v>
      </c>
      <c r="X12">
        <f>VLOOKUP($A12,'2025.04'!$A$2:$B$28,2,FALSE)</f>
        <v>3</v>
      </c>
      <c r="Y12">
        <f>VLOOKUP($A12,'2025.05'!$A$2:$B$28,2,FALSE)</f>
        <v>7</v>
      </c>
      <c r="Z12">
        <f>VLOOKUP($A12,'2025.06'!$A$2:$B$28,2,FALSE)</f>
        <v>14</v>
      </c>
      <c r="AA12">
        <f>VLOOKUP($A12,'2025.07'!$A$2:$B$28,2,FALSE)</f>
        <v>10</v>
      </c>
      <c r="AB12">
        <f>VLOOKUP($A12,'2025.08'!$A$2:$B$28,2,FALSE)</f>
        <v>6</v>
      </c>
      <c r="AC12">
        <f>VLOOKUP($A12,'2025.09'!$A$2:$B$28,2,FALSE)</f>
        <v>5</v>
      </c>
      <c r="AD12">
        <f>VLOOKUP($A12,'2025.10'!$A$2:$B$28,2,FALSE)</f>
        <v>6</v>
      </c>
      <c r="AE12">
        <f>VLOOKUP($A12,'2025.11'!$A$2:$B$28,2,FALSE)</f>
        <v>5</v>
      </c>
      <c r="AF12">
        <f>VLOOKUP($A12,'2025.12'!$A$2:$B$28,2,FALSE)</f>
        <v>7</v>
      </c>
      <c r="AG12">
        <f>VLOOKUP($A12,'2026.01'!$A$2:$B$28,2,FALSE)</f>
        <v>7</v>
      </c>
      <c r="AH12">
        <f>VLOOKUP($A12,'2026.02'!$A$2:$B$28,2,FALSE)</f>
        <v>1</v>
      </c>
      <c r="AI12">
        <f>VLOOKUP($A12,'2026.03'!$A$2:$B$28,2,FALSE)</f>
        <v>3</v>
      </c>
      <c r="AJ12">
        <f>VLOOKUP($A12,'2026.04'!$A$2:$B$28,2,FALSE)</f>
        <v>5</v>
      </c>
      <c r="AK12">
        <f>VLOOKUP($A12,'2026.05'!$A$2:$B$28,2,FALSE)</f>
        <v>1</v>
      </c>
    </row>
    <row r="13" spans="1:45" x14ac:dyDescent="0.3">
      <c r="A13" t="s">
        <v>111</v>
      </c>
      <c r="B13">
        <f t="shared" si="0"/>
        <v>101</v>
      </c>
      <c r="C13" s="2">
        <f t="shared" si="1"/>
        <v>2.4864598719842441E-2</v>
      </c>
      <c r="D13">
        <f t="shared" si="2"/>
        <v>48</v>
      </c>
      <c r="E13">
        <f t="shared" si="3"/>
        <v>41</v>
      </c>
      <c r="F13">
        <f>VLOOKUP($A13,'2023.10'!$A$2:$B$26,2,FALSE)</f>
        <v>2</v>
      </c>
      <c r="G13">
        <f>VLOOKUP($A13,'2023.11'!$A$2:$B$26,2,FALSE)</f>
        <v>1</v>
      </c>
      <c r="H13">
        <f>VLOOKUP($A13,'2023.12'!$A$2:$B$26,2,FALSE)</f>
        <v>3</v>
      </c>
      <c r="I13">
        <f>VLOOKUP($A13,'2024.01'!$A$2:$B$26,2,FALSE)</f>
        <v>1</v>
      </c>
      <c r="J13">
        <f>VLOOKUP($A13,'2024.02'!$A$2:$B$26,2,FALSE)</f>
        <v>1</v>
      </c>
      <c r="K13">
        <f>VLOOKUP($A13,'2024.03'!$A$2:$B$26,2,FALSE)</f>
        <v>2</v>
      </c>
      <c r="L13">
        <f>VLOOKUP($A13,'2024.04'!$A$2:$B$26,2,FALSE)</f>
        <v>3</v>
      </c>
      <c r="M13">
        <f>VLOOKUP($A13,'2024.05'!$A$2:$B$27,2,FALSE)</f>
        <v>2</v>
      </c>
      <c r="N13">
        <f>VLOOKUP($A13,'2024.06'!$A$2:$B$27,2,FALSE)</f>
        <v>3</v>
      </c>
      <c r="O13">
        <f>VLOOKUP($A13,'2024.07'!$A$2:$B$27,2,FALSE)</f>
        <v>10</v>
      </c>
      <c r="P13">
        <f>VLOOKUP($A13,'2024.08'!$A$2:$B$28,2,FALSE)</f>
        <v>10</v>
      </c>
      <c r="Q13">
        <f>VLOOKUP($A13,'2024.09'!$A$2:$B$28,2,FALSE)</f>
        <v>6</v>
      </c>
      <c r="R13">
        <f>VLOOKUP($A13,'2024.10'!$A$2:$B$28,2,FALSE)</f>
        <v>3</v>
      </c>
      <c r="S13">
        <f>VLOOKUP($A13,'2024.11'!$A$2:$B$28,2,FALSE)</f>
        <v>6</v>
      </c>
      <c r="T13">
        <f>VLOOKUP($A13,'2024.12'!$A$2:$B$28,2,FALSE)</f>
        <v>1</v>
      </c>
      <c r="U13">
        <f>VLOOKUP($A13,'2025.01'!$A$2:$B$28,2,FALSE)</f>
        <v>1</v>
      </c>
      <c r="V13">
        <f>VLOOKUP($A13,'2025.02'!$A$2:$B$28,2,FALSE)</f>
        <v>5</v>
      </c>
      <c r="W13">
        <f>VLOOKUP($A13,'2025.03'!$A$2:$B$28,2,FALSE)</f>
        <v>4</v>
      </c>
      <c r="X13">
        <f>VLOOKUP($A13,'2025.04'!$A$2:$B$28,2,FALSE)</f>
        <v>6</v>
      </c>
      <c r="Y13">
        <f>VLOOKUP($A13,'2025.05'!$A$2:$B$28,2,FALSE)</f>
        <v>4</v>
      </c>
      <c r="Z13">
        <f>VLOOKUP($A13,'2025.06'!$A$2:$B$28,2,FALSE)</f>
        <v>4</v>
      </c>
      <c r="AA13">
        <f>VLOOKUP($A13,'2025.07'!$A$2:$B$28,2,FALSE)</f>
        <v>6</v>
      </c>
      <c r="AB13">
        <f>VLOOKUP($A13,'2025.08'!$A$2:$B$28,2,FALSE)</f>
        <v>4</v>
      </c>
      <c r="AC13">
        <f>VLOOKUP($A13,'2025.09'!$A$2:$B$28,2,FALSE)</f>
        <v>3</v>
      </c>
      <c r="AD13">
        <f>VLOOKUP($A13,'2025.10'!$A$2:$B$28,2,FALSE)</f>
        <v>3</v>
      </c>
      <c r="AE13">
        <f>VLOOKUP($A13,'2025.11'!$A$2:$B$28,2,FALSE)</f>
        <v>0</v>
      </c>
      <c r="AF13">
        <f>VLOOKUP($A13,'2025.12'!$A$2:$B$28,2,FALSE)</f>
        <v>1</v>
      </c>
      <c r="AG13">
        <f>VLOOKUP($A13,'2026.01'!$A$2:$B$28,2,FALSE)</f>
        <v>1</v>
      </c>
      <c r="AH13">
        <f>VLOOKUP($A13,'2026.02'!$A$2:$B$28,2,FALSE)</f>
        <v>2</v>
      </c>
      <c r="AI13">
        <f>VLOOKUP($A13,'2026.03'!$A$2:$B$28,2,FALSE)</f>
        <v>1</v>
      </c>
      <c r="AJ13">
        <f>VLOOKUP($A13,'2026.04'!$A$2:$B$28,2,FALSE)</f>
        <v>1</v>
      </c>
      <c r="AK13">
        <f>VLOOKUP($A13,'2026.05'!$A$2:$B$28,2,FALSE)</f>
        <v>1</v>
      </c>
    </row>
    <row r="14" spans="1:45" x14ac:dyDescent="0.3">
      <c r="A14" t="s">
        <v>101</v>
      </c>
      <c r="B14">
        <f t="shared" si="0"/>
        <v>47</v>
      </c>
      <c r="C14" s="2">
        <f t="shared" si="1"/>
        <v>1.1570654849827671E-2</v>
      </c>
      <c r="D14">
        <f t="shared" si="2"/>
        <v>36</v>
      </c>
      <c r="E14">
        <f t="shared" si="3"/>
        <v>5</v>
      </c>
      <c r="F14">
        <f>VLOOKUP($A14,'2023.10'!$A$2:$B$26,2,FALSE)</f>
        <v>3</v>
      </c>
      <c r="G14">
        <f>VLOOKUP($A14,'2023.11'!$A$2:$B$26,2,FALSE)</f>
        <v>3</v>
      </c>
      <c r="H14">
        <f>VLOOKUP($A14,'2023.12'!$A$2:$B$26,2,FALSE)</f>
        <v>0</v>
      </c>
      <c r="I14">
        <f>VLOOKUP($A14,'2024.01'!$A$2:$B$26,2,FALSE)</f>
        <v>1</v>
      </c>
      <c r="J14">
        <f>VLOOKUP($A14,'2024.02'!$A$2:$B$26,2,FALSE)</f>
        <v>2</v>
      </c>
      <c r="K14">
        <f>VLOOKUP($A14,'2024.03'!$A$2:$B$26,2,FALSE)</f>
        <v>3</v>
      </c>
      <c r="L14">
        <f>VLOOKUP($A14,'2024.04'!$A$2:$B$26,2,FALSE)</f>
        <v>6</v>
      </c>
      <c r="M14">
        <f>VLOOKUP($A14,'2024.05'!$A$2:$B$27,2,FALSE)</f>
        <v>4</v>
      </c>
      <c r="N14">
        <f>VLOOKUP($A14,'2024.06'!$A$2:$B$27,2,FALSE)</f>
        <v>6</v>
      </c>
      <c r="O14">
        <f>VLOOKUP($A14,'2024.07'!$A$2:$B$27,2,FALSE)</f>
        <v>3</v>
      </c>
      <c r="P14">
        <f>VLOOKUP($A14,'2024.08'!$A$2:$B$28,2,FALSE)</f>
        <v>3</v>
      </c>
      <c r="Q14">
        <f>VLOOKUP($A14,'2024.09'!$A$2:$B$28,2,FALSE)</f>
        <v>2</v>
      </c>
      <c r="R14">
        <f>VLOOKUP($A14,'2024.10'!$A$2:$B$28,2,FALSE)</f>
        <v>1</v>
      </c>
      <c r="S14">
        <f>VLOOKUP($A14,'2024.11'!$A$2:$B$28,2,FALSE)</f>
        <v>3</v>
      </c>
      <c r="T14">
        <f>VLOOKUP($A14,'2024.12'!$A$2:$B$28,2,FALSE)</f>
        <v>2</v>
      </c>
      <c r="U14">
        <f>VLOOKUP($A14,'2025.01'!$A$2:$B$28,2,FALSE)</f>
        <v>1</v>
      </c>
      <c r="V14">
        <f>VLOOKUP($A14,'2025.02'!$A$2:$B$28,2,FALSE)</f>
        <v>0</v>
      </c>
      <c r="W14">
        <f>VLOOKUP($A14,'2025.03'!$A$2:$B$28,2,FALSE)</f>
        <v>2</v>
      </c>
      <c r="X14">
        <f>VLOOKUP($A14,'2025.04'!$A$2:$B$28,2,FALSE)</f>
        <v>0</v>
      </c>
      <c r="Y14">
        <f>VLOOKUP($A14,'2025.05'!$A$2:$B$28,2,FALSE)</f>
        <v>0</v>
      </c>
      <c r="Z14">
        <f>VLOOKUP($A14,'2025.06'!$A$2:$B$28,2,FALSE)</f>
        <v>1</v>
      </c>
      <c r="AA14">
        <f>VLOOKUP($A14,'2025.07'!$A$2:$B$28,2,FALSE)</f>
        <v>0</v>
      </c>
      <c r="AB14">
        <f>VLOOKUP($A14,'2025.08'!$A$2:$B$28,2,FALSE)</f>
        <v>0</v>
      </c>
      <c r="AC14">
        <f>VLOOKUP($A14,'2025.09'!$A$2:$B$28,2,FALSE)</f>
        <v>0</v>
      </c>
      <c r="AD14">
        <f>VLOOKUP($A14,'2025.10'!$A$2:$B$28,2,FALSE)</f>
        <v>0</v>
      </c>
      <c r="AE14">
        <f>VLOOKUP($A14,'2025.11'!$A$2:$B$28,2,FALSE)</f>
        <v>1</v>
      </c>
      <c r="AF14">
        <f>VLOOKUP($A14,'2025.12'!$A$2:$B$28,2,FALSE)</f>
        <v>0</v>
      </c>
      <c r="AG14">
        <f>VLOOKUP($A14,'2026.01'!$A$2:$B$28,2,FALSE)</f>
        <v>0</v>
      </c>
      <c r="AH14">
        <f>VLOOKUP($A14,'2026.02'!$A$2:$B$28,2,FALSE)</f>
        <v>0</v>
      </c>
      <c r="AI14">
        <f>VLOOKUP($A14,'2026.03'!$A$2:$B$28,2,FALSE)</f>
        <v>0</v>
      </c>
      <c r="AJ14">
        <f>VLOOKUP($A14,'2026.04'!$A$2:$B$28,2,FALSE)</f>
        <v>0</v>
      </c>
      <c r="AK14">
        <f>VLOOKUP($A14,'2026.05'!$A$2:$B$28,2,FALSE)</f>
        <v>0</v>
      </c>
    </row>
    <row r="15" spans="1:45" x14ac:dyDescent="0.3">
      <c r="A15" t="s">
        <v>112</v>
      </c>
      <c r="B15">
        <f t="shared" si="0"/>
        <v>49</v>
      </c>
      <c r="C15" s="2">
        <f t="shared" si="1"/>
        <v>1.2063023141309699E-2</v>
      </c>
      <c r="D15">
        <f t="shared" si="2"/>
        <v>27</v>
      </c>
      <c r="E15">
        <f t="shared" si="3"/>
        <v>9</v>
      </c>
      <c r="F15">
        <f>VLOOKUP($A15,'2023.10'!$A$2:$B$26,2,FALSE)</f>
        <v>3</v>
      </c>
      <c r="G15">
        <f>VLOOKUP($A15,'2023.11'!$A$2:$B$26,2,FALSE)</f>
        <v>3</v>
      </c>
      <c r="H15">
        <f>VLOOKUP($A15,'2023.12'!$A$2:$B$26,2,FALSE)</f>
        <v>3</v>
      </c>
      <c r="I15">
        <f>VLOOKUP($A15,'2024.01'!$A$2:$B$26,2,FALSE)</f>
        <v>1</v>
      </c>
      <c r="J15">
        <f>VLOOKUP($A15,'2024.02'!$A$2:$B$26,2,FALSE)</f>
        <v>1</v>
      </c>
      <c r="K15">
        <f>VLOOKUP($A15,'2024.03'!$A$2:$B$26,2,FALSE)</f>
        <v>2</v>
      </c>
      <c r="L15">
        <f>VLOOKUP($A15,'2024.04'!$A$2:$B$26,2,FALSE)</f>
        <v>0</v>
      </c>
      <c r="M15">
        <f>VLOOKUP($A15,'2024.05'!$A$2:$B$27,2,FALSE)</f>
        <v>4</v>
      </c>
      <c r="N15">
        <f>VLOOKUP($A15,'2024.06'!$A$2:$B$27,2,FALSE)</f>
        <v>3</v>
      </c>
      <c r="O15">
        <f>VLOOKUP($A15,'2024.07'!$A$2:$B$27,2,FALSE)</f>
        <v>6</v>
      </c>
      <c r="P15">
        <f>VLOOKUP($A15,'2024.08'!$A$2:$B$28,2,FALSE)</f>
        <v>4</v>
      </c>
      <c r="Q15">
        <f>VLOOKUP($A15,'2024.09'!$A$2:$B$28,2,FALSE)</f>
        <v>1</v>
      </c>
      <c r="R15">
        <f>VLOOKUP($A15,'2024.10'!$A$2:$B$28,2,FALSE)</f>
        <v>0</v>
      </c>
      <c r="S15">
        <f>VLOOKUP($A15,'2024.11'!$A$2:$B$28,2,FALSE)</f>
        <v>2</v>
      </c>
      <c r="T15">
        <f>VLOOKUP($A15,'2024.12'!$A$2:$B$28,2,FALSE)</f>
        <v>3</v>
      </c>
      <c r="U15">
        <f>VLOOKUP($A15,'2025.01'!$A$2:$B$28,2,FALSE)</f>
        <v>3</v>
      </c>
      <c r="V15">
        <f>VLOOKUP($A15,'2025.02'!$A$2:$B$28,2,FALSE)</f>
        <v>0</v>
      </c>
      <c r="W15">
        <f>VLOOKUP($A15,'2025.03'!$A$2:$B$28,2,FALSE)</f>
        <v>3</v>
      </c>
      <c r="X15">
        <f>VLOOKUP($A15,'2025.04'!$A$2:$B$28,2,FALSE)</f>
        <v>0</v>
      </c>
      <c r="Y15">
        <f>VLOOKUP($A15,'2025.05'!$A$2:$B$28,2,FALSE)</f>
        <v>1</v>
      </c>
      <c r="Z15">
        <f>VLOOKUP($A15,'2025.06'!$A$2:$B$28,2,FALSE)</f>
        <v>0</v>
      </c>
      <c r="AA15">
        <f>VLOOKUP($A15,'2025.07'!$A$2:$B$28,2,FALSE)</f>
        <v>1</v>
      </c>
      <c r="AB15">
        <f>VLOOKUP($A15,'2025.08'!$A$2:$B$28,2,FALSE)</f>
        <v>0</v>
      </c>
      <c r="AC15">
        <f>VLOOKUP($A15,'2025.09'!$A$2:$B$28,2,FALSE)</f>
        <v>0</v>
      </c>
      <c r="AD15">
        <f>VLOOKUP($A15,'2025.10'!$A$2:$B$28,2,FALSE)</f>
        <v>1</v>
      </c>
      <c r="AE15">
        <f>VLOOKUP($A15,'2025.11'!$A$2:$B$28,2,FALSE)</f>
        <v>0</v>
      </c>
      <c r="AF15">
        <f>VLOOKUP($A15,'2025.12'!$A$2:$B$28,2,FALSE)</f>
        <v>0</v>
      </c>
      <c r="AG15">
        <f>VLOOKUP($A15,'2026.01'!$A$2:$B$28,2,FALSE)</f>
        <v>0</v>
      </c>
      <c r="AH15">
        <f>VLOOKUP($A15,'2026.02'!$A$2:$B$28,2,FALSE)</f>
        <v>1</v>
      </c>
      <c r="AI15">
        <f>VLOOKUP($A15,'2026.03'!$A$2:$B$28,2,FALSE)</f>
        <v>2</v>
      </c>
      <c r="AJ15">
        <f>VLOOKUP($A15,'2026.04'!$A$2:$B$28,2,FALSE)</f>
        <v>0</v>
      </c>
      <c r="AK15">
        <f>VLOOKUP($A15,'2026.05'!$A$2:$B$28,2,FALSE)</f>
        <v>1</v>
      </c>
    </row>
    <row r="16" spans="1:45" x14ac:dyDescent="0.3">
      <c r="A16" t="s">
        <v>108</v>
      </c>
      <c r="B16">
        <f t="shared" si="0"/>
        <v>53</v>
      </c>
      <c r="C16" s="2">
        <f t="shared" si="1"/>
        <v>1.3047759724273756E-2</v>
      </c>
      <c r="D16">
        <f t="shared" si="2"/>
        <v>19</v>
      </c>
      <c r="E16">
        <f t="shared" si="3"/>
        <v>25</v>
      </c>
      <c r="F16">
        <f>VLOOKUP($A16,'2023.10'!$A$2:$B$26,2,FALSE)</f>
        <v>2</v>
      </c>
      <c r="G16">
        <f>VLOOKUP($A16,'2023.11'!$A$2:$B$26,2,FALSE)</f>
        <v>3</v>
      </c>
      <c r="H16">
        <f>VLOOKUP($A16,'2023.12'!$A$2:$B$26,2,FALSE)</f>
        <v>2</v>
      </c>
      <c r="I16">
        <f>VLOOKUP($A16,'2024.01'!$A$2:$B$26,2,FALSE)</f>
        <v>2</v>
      </c>
      <c r="J16">
        <f>VLOOKUP($A16,'2024.02'!$A$2:$B$26,2,FALSE)</f>
        <v>6</v>
      </c>
      <c r="K16">
        <f>VLOOKUP($A16,'2024.03'!$A$2:$B$26,2,FALSE)</f>
        <v>2</v>
      </c>
      <c r="L16">
        <f>VLOOKUP($A16,'2024.04'!$A$2:$B$26,2,FALSE)</f>
        <v>1</v>
      </c>
      <c r="M16">
        <f>VLOOKUP($A16,'2024.05'!$A$2:$B$27,2,FALSE)</f>
        <v>0</v>
      </c>
      <c r="N16">
        <f>VLOOKUP($A16,'2024.06'!$A$2:$B$27,2,FALSE)</f>
        <v>2</v>
      </c>
      <c r="O16">
        <f>VLOOKUP($A16,'2024.07'!$A$2:$B$27,2,FALSE)</f>
        <v>0</v>
      </c>
      <c r="P16">
        <f>VLOOKUP($A16,'2024.08'!$A$2:$B$28,2,FALSE)</f>
        <v>1</v>
      </c>
      <c r="Q16">
        <f>VLOOKUP($A16,'2024.09'!$A$2:$B$28,2,FALSE)</f>
        <v>3</v>
      </c>
      <c r="R16">
        <f>VLOOKUP($A16,'2024.10'!$A$2:$B$28,2,FALSE)</f>
        <v>1</v>
      </c>
      <c r="S16">
        <f>VLOOKUP($A16,'2024.11'!$A$2:$B$28,2,FALSE)</f>
        <v>0</v>
      </c>
      <c r="T16">
        <f>VLOOKUP($A16,'2024.12'!$A$2:$B$28,2,FALSE)</f>
        <v>1</v>
      </c>
      <c r="U16">
        <f>VLOOKUP($A16,'2025.01'!$A$2:$B$28,2,FALSE)</f>
        <v>2</v>
      </c>
      <c r="V16">
        <f>VLOOKUP($A16,'2025.02'!$A$2:$B$28,2,FALSE)</f>
        <v>3</v>
      </c>
      <c r="W16">
        <f>VLOOKUP($A16,'2025.03'!$A$2:$B$28,2,FALSE)</f>
        <v>2</v>
      </c>
      <c r="X16">
        <f>VLOOKUP($A16,'2025.04'!$A$2:$B$28,2,FALSE)</f>
        <v>1</v>
      </c>
      <c r="Y16">
        <f>VLOOKUP($A16,'2025.05'!$A$2:$B$28,2,FALSE)</f>
        <v>9</v>
      </c>
      <c r="Z16">
        <f>VLOOKUP($A16,'2025.06'!$A$2:$B$28,2,FALSE)</f>
        <v>3</v>
      </c>
      <c r="AA16">
        <f>VLOOKUP($A16,'2025.07'!$A$2:$B$28,2,FALSE)</f>
        <v>0</v>
      </c>
      <c r="AB16">
        <f>VLOOKUP($A16,'2025.08'!$A$2:$B$28,2,FALSE)</f>
        <v>1</v>
      </c>
      <c r="AC16">
        <f>VLOOKUP($A16,'2025.09'!$A$2:$B$28,2,FALSE)</f>
        <v>0</v>
      </c>
      <c r="AD16">
        <f>VLOOKUP($A16,'2025.10'!$A$2:$B$28,2,FALSE)</f>
        <v>2</v>
      </c>
      <c r="AE16">
        <f>VLOOKUP($A16,'2025.11'!$A$2:$B$28,2,FALSE)</f>
        <v>1</v>
      </c>
      <c r="AF16">
        <f>VLOOKUP($A16,'2025.12'!$A$2:$B$28,2,FALSE)</f>
        <v>1</v>
      </c>
      <c r="AG16">
        <f>VLOOKUP($A16,'2026.01'!$A$2:$B$28,2,FALSE)</f>
        <v>1</v>
      </c>
      <c r="AH16">
        <f>VLOOKUP($A16,'2026.02'!$A$2:$B$28,2,FALSE)</f>
        <v>0</v>
      </c>
      <c r="AI16">
        <f>VLOOKUP($A16,'2026.03'!$A$2:$B$28,2,FALSE)</f>
        <v>0</v>
      </c>
      <c r="AJ16">
        <f>VLOOKUP($A16,'2026.04'!$A$2:$B$28,2,FALSE)</f>
        <v>0</v>
      </c>
      <c r="AK16">
        <f>VLOOKUP($A16,'2026.05'!$A$2:$B$28,2,FALSE)</f>
        <v>1</v>
      </c>
    </row>
    <row r="17" spans="1:37" x14ac:dyDescent="0.3">
      <c r="A17" t="s">
        <v>124</v>
      </c>
      <c r="B17">
        <f t="shared" si="0"/>
        <v>75</v>
      </c>
      <c r="C17" s="2">
        <f t="shared" si="1"/>
        <v>1.8463810930576072E-2</v>
      </c>
      <c r="D17">
        <f t="shared" si="2"/>
        <v>35</v>
      </c>
      <c r="E17">
        <f t="shared" si="3"/>
        <v>31</v>
      </c>
      <c r="M17">
        <f>VLOOKUP($A17,'2024.05'!$A$2:$B$27,2,FALSE)</f>
        <v>2</v>
      </c>
      <c r="N17">
        <f>VLOOKUP($A17,'2024.06'!$A$2:$B$27,2,FALSE)</f>
        <v>2</v>
      </c>
      <c r="O17">
        <f>VLOOKUP($A17,'2024.07'!$A$2:$B$27,2,FALSE)</f>
        <v>4</v>
      </c>
      <c r="P17">
        <f>VLOOKUP($A17,'2024.08'!$A$2:$B$28,2,FALSE)</f>
        <v>9</v>
      </c>
      <c r="Q17">
        <f>VLOOKUP($A17,'2024.09'!$A$2:$B$28,2,FALSE)</f>
        <v>4</v>
      </c>
      <c r="R17">
        <f>VLOOKUP($A17,'2024.10'!$A$2:$B$28,2,FALSE)</f>
        <v>4</v>
      </c>
      <c r="S17">
        <f>VLOOKUP($A17,'2024.11'!$A$2:$B$28,2,FALSE)</f>
        <v>8</v>
      </c>
      <c r="T17">
        <f>VLOOKUP($A17,'2024.12'!$A$2:$B$28,2,FALSE)</f>
        <v>2</v>
      </c>
      <c r="U17">
        <f>VLOOKUP($A17,'2025.01'!$A$2:$B$28,2,FALSE)</f>
        <v>6</v>
      </c>
      <c r="V17">
        <f>VLOOKUP($A17,'2025.02'!$A$2:$B$28,2,FALSE)</f>
        <v>2</v>
      </c>
      <c r="W17">
        <f>VLOOKUP($A17,'2025.03'!$A$2:$B$28,2,FALSE)</f>
        <v>4</v>
      </c>
      <c r="X17">
        <f>VLOOKUP($A17,'2025.04'!$A$2:$B$28,2,FALSE)</f>
        <v>6</v>
      </c>
      <c r="Y17">
        <f>VLOOKUP($A17,'2025.05'!$A$2:$B$28,2,FALSE)</f>
        <v>2</v>
      </c>
      <c r="Z17">
        <f>VLOOKUP($A17,'2025.06'!$A$2:$B$28,2,FALSE)</f>
        <v>3</v>
      </c>
      <c r="AA17">
        <f>VLOOKUP($A17,'2025.07'!$A$2:$B$28,2,FALSE)</f>
        <v>2</v>
      </c>
      <c r="AB17">
        <f>VLOOKUP($A17,'2025.08'!$A$2:$B$28,2,FALSE)</f>
        <v>1</v>
      </c>
      <c r="AC17">
        <f>VLOOKUP($A17,'2025.09'!$A$2:$B$28,2,FALSE)</f>
        <v>2</v>
      </c>
      <c r="AD17">
        <f>VLOOKUP($A17,'2025.10'!$A$2:$B$28,2,FALSE)</f>
        <v>2</v>
      </c>
      <c r="AE17">
        <f>VLOOKUP($A17,'2025.11'!$A$2:$B$28,2,FALSE)</f>
        <v>1</v>
      </c>
      <c r="AF17">
        <f>VLOOKUP($A17,'2025.12'!$A$2:$B$28,2,FALSE)</f>
        <v>0</v>
      </c>
      <c r="AG17">
        <f>VLOOKUP($A17,'2026.01'!$A$2:$B$28,2,FALSE)</f>
        <v>0</v>
      </c>
      <c r="AH17">
        <f>VLOOKUP($A17,'2026.02'!$A$2:$B$28,2,FALSE)</f>
        <v>0</v>
      </c>
      <c r="AI17">
        <f>VLOOKUP($A17,'2026.03'!$A$2:$B$28,2,FALSE)</f>
        <v>0</v>
      </c>
      <c r="AJ17">
        <f>VLOOKUP($A17,'2026.04'!$A$2:$B$28,2,FALSE)</f>
        <v>8</v>
      </c>
      <c r="AK17">
        <f>VLOOKUP($A17,'2026.05'!$A$2:$B$28,2,FALSE)</f>
        <v>1</v>
      </c>
    </row>
    <row r="18" spans="1:37" x14ac:dyDescent="0.3">
      <c r="A18" t="s">
        <v>113</v>
      </c>
      <c r="B18">
        <f t="shared" si="0"/>
        <v>36</v>
      </c>
      <c r="C18" s="2">
        <f t="shared" si="1"/>
        <v>8.8626292466765146E-3</v>
      </c>
      <c r="D18">
        <f t="shared" si="2"/>
        <v>21</v>
      </c>
      <c r="E18">
        <f t="shared" si="3"/>
        <v>5</v>
      </c>
      <c r="F18">
        <f>VLOOKUP($A18,'2023.10'!$A$2:$B$26,2,FALSE)</f>
        <v>0</v>
      </c>
      <c r="G18">
        <f>VLOOKUP($A18,'2023.11'!$A$2:$B$26,2,FALSE)</f>
        <v>2</v>
      </c>
      <c r="H18">
        <f>VLOOKUP($A18,'2023.12'!$A$2:$B$26,2,FALSE)</f>
        <v>0</v>
      </c>
      <c r="I18">
        <f>VLOOKUP($A18,'2024.01'!$A$2:$B$26,2,FALSE)</f>
        <v>2</v>
      </c>
      <c r="J18">
        <f>VLOOKUP($A18,'2024.02'!$A$2:$B$26,2,FALSE)</f>
        <v>1</v>
      </c>
      <c r="K18">
        <f>VLOOKUP($A18,'2024.03'!$A$2:$B$26,2,FALSE)</f>
        <v>1</v>
      </c>
      <c r="L18">
        <f>VLOOKUP($A18,'2024.04'!$A$2:$B$26,2,FALSE)</f>
        <v>3</v>
      </c>
      <c r="M18">
        <f>VLOOKUP($A18,'2024.05'!$A$2:$B$27,2,FALSE)</f>
        <v>5</v>
      </c>
      <c r="N18">
        <f>VLOOKUP($A18,'2024.06'!$A$2:$B$27,2,FALSE)</f>
        <v>1</v>
      </c>
      <c r="O18">
        <f>VLOOKUP($A18,'2024.07'!$A$2:$B$27,2,FALSE)</f>
        <v>1</v>
      </c>
      <c r="P18">
        <f>VLOOKUP($A18,'2024.08'!$A$2:$B$28,2,FALSE)</f>
        <v>1</v>
      </c>
      <c r="Q18">
        <f>VLOOKUP($A18,'2024.09'!$A$2:$B$28,2,FALSE)</f>
        <v>2</v>
      </c>
      <c r="R18">
        <f>VLOOKUP($A18,'2024.10'!$A$2:$B$28,2,FALSE)</f>
        <v>0</v>
      </c>
      <c r="S18">
        <f>VLOOKUP($A18,'2024.11'!$A$2:$B$28,2,FALSE)</f>
        <v>2</v>
      </c>
      <c r="T18">
        <f>VLOOKUP($A18,'2024.12'!$A$2:$B$28,2,FALSE)</f>
        <v>2</v>
      </c>
      <c r="U18">
        <f>VLOOKUP($A18,'2025.01'!$A$2:$B$28,2,FALSE)</f>
        <v>2</v>
      </c>
      <c r="V18">
        <f>VLOOKUP($A18,'2025.02'!$A$2:$B$28,2,FALSE)</f>
        <v>0</v>
      </c>
      <c r="W18">
        <f>VLOOKUP($A18,'2025.03'!$A$2:$B$28,2,FALSE)</f>
        <v>1</v>
      </c>
      <c r="X18">
        <f>VLOOKUP($A18,'2025.04'!$A$2:$B$28,2,FALSE)</f>
        <v>0</v>
      </c>
      <c r="Y18">
        <f>VLOOKUP($A18,'2025.05'!$A$2:$B$28,2,FALSE)</f>
        <v>0</v>
      </c>
      <c r="Z18">
        <f>VLOOKUP($A18,'2025.06'!$A$2:$B$28,2,FALSE)</f>
        <v>0</v>
      </c>
      <c r="AA18">
        <f>VLOOKUP($A18,'2025.07'!$A$2:$B$28,2,FALSE)</f>
        <v>0</v>
      </c>
      <c r="AB18">
        <f>VLOOKUP($A18,'2025.08'!$A$2:$B$28,2,FALSE)</f>
        <v>1</v>
      </c>
      <c r="AC18">
        <f>VLOOKUP($A18,'2025.09'!$A$2:$B$28,2,FALSE)</f>
        <v>0</v>
      </c>
      <c r="AD18">
        <f>VLOOKUP($A18,'2025.10'!$A$2:$B$28,2,FALSE)</f>
        <v>0</v>
      </c>
      <c r="AE18">
        <f>VLOOKUP($A18,'2025.11'!$A$2:$B$28,2,FALSE)</f>
        <v>0</v>
      </c>
      <c r="AF18">
        <f>VLOOKUP($A18,'2025.12'!$A$2:$B$28,2,FALSE)</f>
        <v>1</v>
      </c>
      <c r="AG18">
        <f>VLOOKUP($A18,'2026.01'!$A$2:$B$28,2,FALSE)</f>
        <v>1</v>
      </c>
      <c r="AH18">
        <f>VLOOKUP($A18,'2026.02'!$A$2:$B$28,2,FALSE)</f>
        <v>0</v>
      </c>
      <c r="AI18">
        <f>VLOOKUP($A18,'2026.03'!$A$2:$B$28,2,FALSE)</f>
        <v>2</v>
      </c>
      <c r="AJ18">
        <f>VLOOKUP($A18,'2026.04'!$A$2:$B$28,2,FALSE)</f>
        <v>4</v>
      </c>
      <c r="AK18">
        <f>VLOOKUP($A18,'2026.05'!$A$2:$B$28,2,FALSE)</f>
        <v>1</v>
      </c>
    </row>
    <row r="19" spans="1:37" x14ac:dyDescent="0.3">
      <c r="A19" t="s">
        <v>107</v>
      </c>
      <c r="B19">
        <f t="shared" si="0"/>
        <v>45</v>
      </c>
      <c r="C19" s="2">
        <f t="shared" si="1"/>
        <v>1.1078286558345642E-2</v>
      </c>
      <c r="D19">
        <f t="shared" si="2"/>
        <v>13</v>
      </c>
      <c r="E19">
        <f t="shared" si="3"/>
        <v>20</v>
      </c>
      <c r="F19">
        <f>VLOOKUP($A19,'2023.10'!$A$2:$B$26,2,FALSE)</f>
        <v>1</v>
      </c>
      <c r="G19">
        <f>VLOOKUP($A19,'2023.11'!$A$2:$B$26,2,FALSE)</f>
        <v>1</v>
      </c>
      <c r="H19">
        <f>VLOOKUP($A19,'2023.12'!$A$2:$B$26,2,FALSE)</f>
        <v>1</v>
      </c>
      <c r="I19">
        <f>VLOOKUP($A19,'2024.01'!$A$2:$B$26,2,FALSE)</f>
        <v>1</v>
      </c>
      <c r="J19">
        <f>VLOOKUP($A19,'2024.02'!$A$2:$B$26,2,FALSE)</f>
        <v>2</v>
      </c>
      <c r="K19">
        <f>VLOOKUP($A19,'2024.03'!$A$2:$B$26,2,FALSE)</f>
        <v>1</v>
      </c>
      <c r="L19">
        <f>VLOOKUP($A19,'2024.04'!$A$2:$B$26,2,FALSE)</f>
        <v>2</v>
      </c>
      <c r="M19">
        <f>VLOOKUP($A19,'2024.05'!$A$2:$B$27,2,FALSE)</f>
        <v>2</v>
      </c>
      <c r="N19">
        <f>VLOOKUP($A19,'2024.06'!$A$2:$B$27,2,FALSE)</f>
        <v>1</v>
      </c>
      <c r="O19">
        <f>VLOOKUP($A19,'2024.07'!$A$2:$B$27,2,FALSE)</f>
        <v>0</v>
      </c>
      <c r="P19">
        <f>VLOOKUP($A19,'2024.08'!$A$2:$B$28,2,FALSE)</f>
        <v>2</v>
      </c>
      <c r="Q19">
        <f>VLOOKUP($A19,'2024.09'!$A$2:$B$28,2,FALSE)</f>
        <v>1</v>
      </c>
      <c r="R19">
        <f>VLOOKUP($A19,'2024.10'!$A$2:$B$28,2,FALSE)</f>
        <v>0</v>
      </c>
      <c r="S19">
        <f>VLOOKUP($A19,'2024.11'!$A$2:$B$28,2,FALSE)</f>
        <v>0</v>
      </c>
      <c r="T19">
        <f>VLOOKUP($A19,'2024.12'!$A$2:$B$28,2,FALSE)</f>
        <v>1</v>
      </c>
      <c r="U19">
        <f>VLOOKUP($A19,'2025.01'!$A$2:$B$28,2,FALSE)</f>
        <v>2</v>
      </c>
      <c r="V19">
        <f>VLOOKUP($A19,'2025.02'!$A$2:$B$28,2,FALSE)</f>
        <v>2</v>
      </c>
      <c r="W19">
        <f>VLOOKUP($A19,'2025.03'!$A$2:$B$28,2,FALSE)</f>
        <v>3</v>
      </c>
      <c r="X19">
        <f>VLOOKUP($A19,'2025.04'!$A$2:$B$28,2,FALSE)</f>
        <v>3</v>
      </c>
      <c r="Y19">
        <f>VLOOKUP($A19,'2025.05'!$A$2:$B$28,2,FALSE)</f>
        <v>2</v>
      </c>
      <c r="Z19">
        <f>VLOOKUP($A19,'2025.06'!$A$2:$B$28,2,FALSE)</f>
        <v>1</v>
      </c>
      <c r="AA19">
        <f>VLOOKUP($A19,'2025.07'!$A$2:$B$28,2,FALSE)</f>
        <v>1</v>
      </c>
      <c r="AB19">
        <f>VLOOKUP($A19,'2025.08'!$A$2:$B$28,2,FALSE)</f>
        <v>1</v>
      </c>
      <c r="AC19">
        <f>VLOOKUP($A19,'2025.09'!$A$2:$B$28,2,FALSE)</f>
        <v>1</v>
      </c>
      <c r="AD19">
        <f>VLOOKUP($A19,'2025.10'!$A$2:$B$28,2,FALSE)</f>
        <v>3</v>
      </c>
      <c r="AE19">
        <f>VLOOKUP($A19,'2025.11'!$A$2:$B$28,2,FALSE)</f>
        <v>1</v>
      </c>
      <c r="AF19">
        <f>VLOOKUP($A19,'2025.12'!$A$2:$B$28,2,FALSE)</f>
        <v>0</v>
      </c>
      <c r="AG19">
        <f>VLOOKUP($A19,'2026.01'!$A$2:$B$28,2,FALSE)</f>
        <v>0</v>
      </c>
      <c r="AH19">
        <f>VLOOKUP($A19,'2026.02'!$A$2:$B$28,2,FALSE)</f>
        <v>0</v>
      </c>
      <c r="AI19">
        <f>VLOOKUP($A19,'2026.03'!$A$2:$B$28,2,FALSE)</f>
        <v>2</v>
      </c>
      <c r="AJ19">
        <f>VLOOKUP($A19,'2026.04'!$A$2:$B$28,2,FALSE)</f>
        <v>6</v>
      </c>
      <c r="AK19">
        <f>VLOOKUP($A19,'2026.05'!$A$2:$B$28,2,FALSE)</f>
        <v>1</v>
      </c>
    </row>
    <row r="20" spans="1:37" x14ac:dyDescent="0.3">
      <c r="A20" t="s">
        <v>116</v>
      </c>
      <c r="B20">
        <f t="shared" si="0"/>
        <v>34</v>
      </c>
      <c r="C20" s="2">
        <f t="shared" si="1"/>
        <v>8.3702609551944852E-3</v>
      </c>
      <c r="D20">
        <f t="shared" si="2"/>
        <v>12</v>
      </c>
      <c r="E20">
        <f t="shared" si="3"/>
        <v>10</v>
      </c>
      <c r="F20">
        <f>VLOOKUP($A20,'2023.10'!$A$2:$B$26,2,FALSE)</f>
        <v>1</v>
      </c>
      <c r="G20">
        <f>VLOOKUP($A20,'2023.11'!$A$2:$B$26,2,FALSE)</f>
        <v>1</v>
      </c>
      <c r="H20">
        <f>VLOOKUP($A20,'2023.12'!$A$2:$B$26,2,FALSE)</f>
        <v>2</v>
      </c>
      <c r="I20">
        <f>VLOOKUP($A20,'2024.01'!$A$2:$B$26,2,FALSE)</f>
        <v>0</v>
      </c>
      <c r="J20">
        <f>VLOOKUP($A20,'2024.02'!$A$2:$B$26,2,FALSE)</f>
        <v>1</v>
      </c>
      <c r="K20">
        <f>VLOOKUP($A20,'2024.03'!$A$2:$B$26,2,FALSE)</f>
        <v>0</v>
      </c>
      <c r="L20">
        <f>VLOOKUP($A20,'2024.04'!$A$2:$B$26,2,FALSE)</f>
        <v>1</v>
      </c>
      <c r="M20">
        <f>VLOOKUP($A20,'2024.05'!$A$2:$B$27,2,FALSE)</f>
        <v>0</v>
      </c>
      <c r="N20">
        <f>VLOOKUP($A20,'2024.06'!$A$2:$B$27,2,FALSE)</f>
        <v>3</v>
      </c>
      <c r="O20">
        <f>VLOOKUP($A20,'2024.07'!$A$2:$B$27,2,FALSE)</f>
        <v>1</v>
      </c>
      <c r="P20">
        <f>VLOOKUP($A20,'2024.08'!$A$2:$B$28,2,FALSE)</f>
        <v>1</v>
      </c>
      <c r="Q20">
        <f>VLOOKUP($A20,'2024.09'!$A$2:$B$28,2,FALSE)</f>
        <v>1</v>
      </c>
      <c r="R20">
        <f>VLOOKUP($A20,'2024.10'!$A$2:$B$28,2,FALSE)</f>
        <v>2</v>
      </c>
      <c r="S20">
        <f>VLOOKUP($A20,'2024.11'!$A$2:$B$28,2,FALSE)</f>
        <v>0</v>
      </c>
      <c r="T20">
        <f>VLOOKUP($A20,'2024.12'!$A$2:$B$28,2,FALSE)</f>
        <v>2</v>
      </c>
      <c r="U20">
        <f>VLOOKUP($A20,'2025.01'!$A$2:$B$28,2,FALSE)</f>
        <v>0</v>
      </c>
      <c r="V20">
        <f>VLOOKUP($A20,'2025.02'!$A$2:$B$28,2,FALSE)</f>
        <v>1</v>
      </c>
      <c r="W20">
        <f>VLOOKUP($A20,'2025.03'!$A$2:$B$28,2,FALSE)</f>
        <v>0</v>
      </c>
      <c r="X20">
        <f>VLOOKUP($A20,'2025.04'!$A$2:$B$28,2,FALSE)</f>
        <v>0</v>
      </c>
      <c r="Y20">
        <f>VLOOKUP($A20,'2025.05'!$A$2:$B$28,2,FALSE)</f>
        <v>0</v>
      </c>
      <c r="Z20">
        <f>VLOOKUP($A20,'2025.06'!$A$2:$B$28,2,FALSE)</f>
        <v>0</v>
      </c>
      <c r="AA20">
        <f>VLOOKUP($A20,'2025.07'!$A$2:$B$28,2,FALSE)</f>
        <v>0</v>
      </c>
      <c r="AB20">
        <f>VLOOKUP($A20,'2025.08'!$A$2:$B$28,2,FALSE)</f>
        <v>1</v>
      </c>
      <c r="AC20">
        <f>VLOOKUP($A20,'2025.09'!$A$2:$B$28,2,FALSE)</f>
        <v>0</v>
      </c>
      <c r="AD20">
        <f>VLOOKUP($A20,'2025.10'!$A$2:$B$28,2,FALSE)</f>
        <v>0</v>
      </c>
      <c r="AE20">
        <f>VLOOKUP($A20,'2025.11'!$A$2:$B$28,2,FALSE)</f>
        <v>3</v>
      </c>
      <c r="AF20">
        <f>VLOOKUP($A20,'2025.12'!$A$2:$B$28,2,FALSE)</f>
        <v>5</v>
      </c>
      <c r="AG20">
        <f>VLOOKUP($A20,'2026.01'!$A$2:$B$28,2,FALSE)</f>
        <v>5</v>
      </c>
      <c r="AH20">
        <f>VLOOKUP($A20,'2026.02'!$A$2:$B$28,2,FALSE)</f>
        <v>0</v>
      </c>
      <c r="AI20">
        <f>VLOOKUP($A20,'2026.03'!$A$2:$B$28,2,FALSE)</f>
        <v>0</v>
      </c>
      <c r="AJ20">
        <f>VLOOKUP($A20,'2026.04'!$A$2:$B$28,2,FALSE)</f>
        <v>1</v>
      </c>
      <c r="AK20">
        <f>VLOOKUP($A20,'2026.05'!$A$2:$B$28,2,FALSE)</f>
        <v>2</v>
      </c>
    </row>
    <row r="21" spans="1:37" x14ac:dyDescent="0.3">
      <c r="A21" t="s">
        <v>106</v>
      </c>
      <c r="B21">
        <f t="shared" si="0"/>
        <v>13</v>
      </c>
      <c r="C21" s="2">
        <f t="shared" si="1"/>
        <v>3.2003938946331858E-3</v>
      </c>
      <c r="D21">
        <f t="shared" si="2"/>
        <v>8</v>
      </c>
      <c r="E21">
        <f t="shared" si="3"/>
        <v>3</v>
      </c>
      <c r="F21">
        <f>VLOOKUP($A21,'2023.10'!$A$2:$B$26,2,FALSE)</f>
        <v>1</v>
      </c>
      <c r="G21">
        <f>VLOOKUP($A21,'2023.11'!$A$2:$B$26,2,FALSE)</f>
        <v>0</v>
      </c>
      <c r="H21">
        <f>VLOOKUP($A21,'2023.12'!$A$2:$B$26,2,FALSE)</f>
        <v>0</v>
      </c>
      <c r="I21">
        <f>VLOOKUP($A21,'2024.01'!$A$2:$B$26,2,FALSE)</f>
        <v>2</v>
      </c>
      <c r="J21">
        <f>VLOOKUP($A21,'2024.02'!$A$2:$B$26,2,FALSE)</f>
        <v>0</v>
      </c>
      <c r="K21">
        <f>VLOOKUP($A21,'2024.03'!$A$2:$B$26,2,FALSE)</f>
        <v>0</v>
      </c>
      <c r="L21">
        <f>VLOOKUP($A21,'2024.04'!$A$2:$B$26,2,FALSE)</f>
        <v>1</v>
      </c>
      <c r="M21">
        <f>VLOOKUP($A21,'2024.05'!$A$2:$B$27,2,FALSE)</f>
        <v>1</v>
      </c>
      <c r="N21">
        <f>VLOOKUP($A21,'2024.06'!$A$2:$B$27,2,FALSE)</f>
        <v>0</v>
      </c>
      <c r="O21">
        <f>VLOOKUP($A21,'2024.07'!$A$2:$B$27,2,FALSE)</f>
        <v>0</v>
      </c>
      <c r="P21">
        <f>VLOOKUP($A21,'2024.08'!$A$2:$B$28,2,FALSE)</f>
        <v>1</v>
      </c>
      <c r="Q21">
        <f>VLOOKUP($A21,'2024.09'!$A$2:$B$28,2,FALSE)</f>
        <v>1</v>
      </c>
      <c r="R21">
        <f>VLOOKUP($A21,'2024.10'!$A$2:$B$28,2,FALSE)</f>
        <v>1</v>
      </c>
      <c r="S21">
        <f>VLOOKUP($A21,'2024.11'!$A$2:$B$28,2,FALSE)</f>
        <v>1</v>
      </c>
      <c r="T21">
        <f>VLOOKUP($A21,'2024.12'!$A$2:$B$28,2,FALSE)</f>
        <v>0</v>
      </c>
      <c r="U21">
        <f>VLOOKUP($A21,'2025.01'!$A$2:$B$28,2,FALSE)</f>
        <v>0</v>
      </c>
      <c r="V21">
        <f>VLOOKUP($A21,'2025.02'!$A$2:$B$28,2,FALSE)</f>
        <v>0</v>
      </c>
      <c r="W21">
        <f>VLOOKUP($A21,'2025.03'!$A$2:$B$28,2,FALSE)</f>
        <v>0</v>
      </c>
      <c r="X21">
        <f>VLOOKUP($A21,'2025.04'!$A$2:$B$28,2,FALSE)</f>
        <v>1</v>
      </c>
      <c r="Y21">
        <f>VLOOKUP($A21,'2025.05'!$A$2:$B$28,2,FALSE)</f>
        <v>1</v>
      </c>
      <c r="Z21">
        <f>VLOOKUP($A21,'2025.06'!$A$2:$B$28,2,FALSE)</f>
        <v>0</v>
      </c>
      <c r="AA21">
        <f>VLOOKUP($A21,'2025.07'!$A$2:$B$28,2,FALSE)</f>
        <v>0</v>
      </c>
      <c r="AB21">
        <f>VLOOKUP($A21,'2025.08'!$A$2:$B$28,2,FALSE)</f>
        <v>1</v>
      </c>
      <c r="AC21">
        <f>VLOOKUP($A21,'2025.09'!$A$2:$B$28,2,FALSE)</f>
        <v>0</v>
      </c>
      <c r="AD21">
        <f>VLOOKUP($A21,'2025.10'!$A$2:$B$28,2,FALSE)</f>
        <v>0</v>
      </c>
      <c r="AE21">
        <f>VLOOKUP($A21,'2025.11'!$A$2:$B$28,2,FALSE)</f>
        <v>0</v>
      </c>
      <c r="AF21">
        <f>VLOOKUP($A21,'2025.12'!$A$2:$B$28,2,FALSE)</f>
        <v>0</v>
      </c>
      <c r="AG21">
        <f>VLOOKUP($A21,'2026.01'!$A$2:$B$28,2,FALSE)</f>
        <v>0</v>
      </c>
      <c r="AH21">
        <f>VLOOKUP($A21,'2026.02'!$A$2:$B$28,2,FALSE)</f>
        <v>0</v>
      </c>
      <c r="AI21">
        <f>VLOOKUP($A21,'2026.03'!$A$2:$B$28,2,FALSE)</f>
        <v>1</v>
      </c>
      <c r="AJ21">
        <f>VLOOKUP($A21,'2026.04'!$A$2:$B$28,2,FALSE)</f>
        <v>0</v>
      </c>
      <c r="AK21">
        <f>VLOOKUP($A21,'2026.05'!$A$2:$B$28,2,FALSE)</f>
        <v>0</v>
      </c>
    </row>
    <row r="22" spans="1:37" x14ac:dyDescent="0.3">
      <c r="A22" t="s">
        <v>115</v>
      </c>
      <c r="B22">
        <f t="shared" si="0"/>
        <v>17</v>
      </c>
      <c r="C22" s="2">
        <f t="shared" si="1"/>
        <v>4.1851304775972426E-3</v>
      </c>
      <c r="D22">
        <f t="shared" si="2"/>
        <v>5</v>
      </c>
      <c r="E22">
        <f t="shared" si="3"/>
        <v>9</v>
      </c>
      <c r="F22">
        <f>VLOOKUP($A22,'2023.10'!$A$2:$B$26,2,FALSE)</f>
        <v>2</v>
      </c>
      <c r="G22">
        <f>VLOOKUP($A22,'2023.11'!$A$2:$B$26,2,FALSE)</f>
        <v>0</v>
      </c>
      <c r="H22">
        <f>VLOOKUP($A22,'2023.12'!$A$2:$B$26,2,FALSE)</f>
        <v>0</v>
      </c>
      <c r="I22">
        <f>VLOOKUP($A22,'2024.01'!$A$2:$B$26,2,FALSE)</f>
        <v>0</v>
      </c>
      <c r="J22">
        <f>VLOOKUP($A22,'2024.02'!$A$2:$B$26,2,FALSE)</f>
        <v>0</v>
      </c>
      <c r="K22">
        <f>VLOOKUP($A22,'2024.03'!$A$2:$B$26,2,FALSE)</f>
        <v>2</v>
      </c>
      <c r="L22">
        <f>VLOOKUP($A22,'2024.04'!$A$2:$B$26,2,FALSE)</f>
        <v>0</v>
      </c>
      <c r="M22">
        <f>VLOOKUP($A22,'2024.05'!$A$2:$B$27,2,FALSE)</f>
        <v>1</v>
      </c>
      <c r="N22">
        <f>VLOOKUP($A22,'2024.06'!$A$2:$B$27,2,FALSE)</f>
        <v>0</v>
      </c>
      <c r="O22">
        <f>VLOOKUP($A22,'2024.07'!$A$2:$B$27,2,FALSE)</f>
        <v>1</v>
      </c>
      <c r="P22">
        <f>VLOOKUP($A22,'2024.08'!$A$2:$B$28,2,FALSE)</f>
        <v>1</v>
      </c>
      <c r="Q22">
        <f>VLOOKUP($A22,'2024.09'!$A$2:$B$28,2,FALSE)</f>
        <v>0</v>
      </c>
      <c r="R22">
        <f>VLOOKUP($A22,'2024.10'!$A$2:$B$28,2,FALSE)</f>
        <v>0</v>
      </c>
      <c r="S22">
        <f>VLOOKUP($A22,'2024.11'!$A$2:$B$28,2,FALSE)</f>
        <v>0</v>
      </c>
      <c r="T22">
        <f>VLOOKUP($A22,'2024.12'!$A$2:$B$28,2,FALSE)</f>
        <v>0</v>
      </c>
      <c r="U22">
        <f>VLOOKUP($A22,'2025.01'!$A$2:$B$28,2,FALSE)</f>
        <v>1</v>
      </c>
      <c r="V22">
        <f>VLOOKUP($A22,'2025.02'!$A$2:$B$28,2,FALSE)</f>
        <v>1</v>
      </c>
      <c r="W22">
        <f>VLOOKUP($A22,'2025.03'!$A$2:$B$28,2,FALSE)</f>
        <v>0</v>
      </c>
      <c r="X22">
        <f>VLOOKUP($A22,'2025.04'!$A$2:$B$28,2,FALSE)</f>
        <v>2</v>
      </c>
      <c r="Y22">
        <f>VLOOKUP($A22,'2025.05'!$A$2:$B$28,2,FALSE)</f>
        <v>1</v>
      </c>
      <c r="Z22">
        <f>VLOOKUP($A22,'2025.06'!$A$2:$B$28,2,FALSE)</f>
        <v>2</v>
      </c>
      <c r="AA22">
        <f>VLOOKUP($A22,'2025.07'!$A$2:$B$28,2,FALSE)</f>
        <v>0</v>
      </c>
      <c r="AB22">
        <f>VLOOKUP($A22,'2025.08'!$A$2:$B$28,2,FALSE)</f>
        <v>0</v>
      </c>
      <c r="AC22">
        <f>VLOOKUP($A22,'2025.09'!$A$2:$B$28,2,FALSE)</f>
        <v>0</v>
      </c>
      <c r="AD22">
        <f>VLOOKUP($A22,'2025.10'!$A$2:$B$28,2,FALSE)</f>
        <v>0</v>
      </c>
      <c r="AE22">
        <f>VLOOKUP($A22,'2025.11'!$A$2:$B$28,2,FALSE)</f>
        <v>2</v>
      </c>
      <c r="AF22">
        <f>VLOOKUP($A22,'2025.12'!$A$2:$B$28,2,FALSE)</f>
        <v>0</v>
      </c>
      <c r="AG22">
        <f>VLOOKUP($A22,'2026.01'!$A$2:$B$28,2,FALSE)</f>
        <v>0</v>
      </c>
      <c r="AH22">
        <f>VLOOKUP($A22,'2026.02'!$A$2:$B$28,2,FALSE)</f>
        <v>0</v>
      </c>
      <c r="AI22">
        <f>VLOOKUP($A22,'2026.03'!$A$2:$B$28,2,FALSE)</f>
        <v>0</v>
      </c>
      <c r="AJ22">
        <f>VLOOKUP($A22,'2026.04'!$A$2:$B$28,2,FALSE)</f>
        <v>1</v>
      </c>
      <c r="AK22">
        <f>VLOOKUP($A22,'2026.05'!$A$2:$B$28,2,FALSE)</f>
        <v>0</v>
      </c>
    </row>
    <row r="23" spans="1:37" x14ac:dyDescent="0.3">
      <c r="A23" t="s">
        <v>122</v>
      </c>
      <c r="B23">
        <f t="shared" si="0"/>
        <v>13</v>
      </c>
      <c r="C23" s="2">
        <f t="shared" si="1"/>
        <v>3.2003938946331858E-3</v>
      </c>
      <c r="D23">
        <f t="shared" si="2"/>
        <v>3</v>
      </c>
      <c r="E23">
        <f t="shared" si="3"/>
        <v>3</v>
      </c>
      <c r="F23">
        <f>VLOOKUP($A23,'2023.10'!$A$2:$B$26,2,FALSE)</f>
        <v>2</v>
      </c>
      <c r="G23">
        <f>VLOOKUP($A23,'2023.11'!$A$2:$B$26,2,FALSE)</f>
        <v>0</v>
      </c>
      <c r="H23">
        <f>VLOOKUP($A23,'2023.12'!$A$2:$B$26,2,FALSE)</f>
        <v>0</v>
      </c>
      <c r="I23">
        <f>VLOOKUP($A23,'2024.01'!$A$2:$B$26,2,FALSE)</f>
        <v>0</v>
      </c>
      <c r="J23">
        <f>VLOOKUP($A23,'2024.02'!$A$2:$B$26,2,FALSE)</f>
        <v>0</v>
      </c>
      <c r="K23">
        <f>VLOOKUP($A23,'2024.03'!$A$2:$B$26,2,FALSE)</f>
        <v>3</v>
      </c>
      <c r="L23">
        <f>VLOOKUP($A23,'2024.04'!$A$2:$B$26,2,FALSE)</f>
        <v>0</v>
      </c>
      <c r="M23">
        <f>VLOOKUP($A23,'2024.05'!$A$2:$B$27,2,FALSE)</f>
        <v>0</v>
      </c>
      <c r="N23">
        <f>VLOOKUP($A23,'2024.06'!$A$2:$B$27,2,FALSE)</f>
        <v>0</v>
      </c>
      <c r="O23">
        <f>VLOOKUP($A23,'2024.07'!$A$2:$B$27,2,FALSE)</f>
        <v>0</v>
      </c>
      <c r="P23">
        <f>VLOOKUP($A23,'2024.08'!$A$2:$B$28,2,FALSE)</f>
        <v>0</v>
      </c>
      <c r="Q23">
        <f>VLOOKUP($A23,'2024.09'!$A$2:$B$28,2,FALSE)</f>
        <v>0</v>
      </c>
      <c r="R23">
        <f>VLOOKUP($A23,'2024.10'!$A$2:$B$28,2,FALSE)</f>
        <v>0</v>
      </c>
      <c r="S23">
        <f>VLOOKUP($A23,'2024.11'!$A$2:$B$28,2,FALSE)</f>
        <v>0</v>
      </c>
      <c r="T23">
        <f>VLOOKUP($A23,'2024.12'!$A$2:$B$28,2,FALSE)</f>
        <v>0</v>
      </c>
      <c r="U23">
        <f>VLOOKUP($A23,'2025.01'!$A$2:$B$28,2,FALSE)</f>
        <v>1</v>
      </c>
      <c r="V23">
        <f>VLOOKUP($A23,'2025.02'!$A$2:$B$28,2,FALSE)</f>
        <v>1</v>
      </c>
      <c r="W23">
        <f>VLOOKUP($A23,'2025.03'!$A$2:$B$28,2,FALSE)</f>
        <v>0</v>
      </c>
      <c r="X23">
        <f>VLOOKUP($A23,'2025.04'!$A$2:$B$28,2,FALSE)</f>
        <v>0</v>
      </c>
      <c r="Y23">
        <f>VLOOKUP($A23,'2025.05'!$A$2:$B$28,2,FALSE)</f>
        <v>0</v>
      </c>
      <c r="Z23">
        <f>VLOOKUP($A23,'2025.06'!$A$2:$B$28,2,FALSE)</f>
        <v>1</v>
      </c>
      <c r="AA23">
        <f>VLOOKUP($A23,'2025.07'!$A$2:$B$28,2,FALSE)</f>
        <v>0</v>
      </c>
      <c r="AB23">
        <f>VLOOKUP($A23,'2025.08'!$A$2:$B$28,2,FALSE)</f>
        <v>0</v>
      </c>
      <c r="AC23">
        <f>VLOOKUP($A23,'2025.09'!$A$2:$B$28,2,FALSE)</f>
        <v>0</v>
      </c>
      <c r="AD23">
        <f>VLOOKUP($A23,'2025.10'!$A$2:$B$28,2,FALSE)</f>
        <v>0</v>
      </c>
      <c r="AE23">
        <f>VLOOKUP($A23,'2025.11'!$A$2:$B$28,2,FALSE)</f>
        <v>0</v>
      </c>
      <c r="AF23">
        <f>VLOOKUP($A23,'2025.12'!$A$2:$B$28,2,FALSE)</f>
        <v>0</v>
      </c>
      <c r="AG23">
        <f>VLOOKUP($A23,'2026.01'!$A$2:$B$28,2,FALSE)</f>
        <v>0</v>
      </c>
      <c r="AH23">
        <f>VLOOKUP($A23,'2026.02'!$A$2:$B$28,2,FALSE)</f>
        <v>0</v>
      </c>
      <c r="AI23">
        <f>VLOOKUP($A23,'2026.03'!$A$2:$B$28,2,FALSE)</f>
        <v>0</v>
      </c>
      <c r="AJ23">
        <f>VLOOKUP($A23,'2026.04'!$A$2:$B$28,2,FALSE)</f>
        <v>5</v>
      </c>
      <c r="AK23">
        <f>VLOOKUP($A23,'2026.05'!$A$2:$B$28,2,FALSE)</f>
        <v>0</v>
      </c>
    </row>
    <row r="24" spans="1:37" x14ac:dyDescent="0.3">
      <c r="A24" t="s">
        <v>119</v>
      </c>
      <c r="B24">
        <f t="shared" si="0"/>
        <v>8</v>
      </c>
      <c r="C24" s="2">
        <f t="shared" si="1"/>
        <v>1.9694731659281144E-3</v>
      </c>
      <c r="D24">
        <f t="shared" si="2"/>
        <v>3</v>
      </c>
      <c r="E24">
        <f t="shared" si="3"/>
        <v>3</v>
      </c>
      <c r="F24">
        <f>VLOOKUP($A24,'2023.10'!$A$2:$B$26,2,FALSE)</f>
        <v>1</v>
      </c>
      <c r="G24">
        <f>VLOOKUP($A24,'2023.11'!$A$2:$B$26,2,FALSE)</f>
        <v>0</v>
      </c>
      <c r="H24">
        <f>VLOOKUP($A24,'2023.12'!$A$2:$B$26,2,FALSE)</f>
        <v>0</v>
      </c>
      <c r="I24">
        <f>VLOOKUP($A24,'2024.01'!$A$2:$B$26,2,FALSE)</f>
        <v>2</v>
      </c>
      <c r="J24">
        <f>VLOOKUP($A24,'2024.02'!$A$2:$B$26,2,FALSE)</f>
        <v>0</v>
      </c>
      <c r="K24">
        <f>VLOOKUP($A24,'2024.03'!$A$2:$B$26,2,FALSE)</f>
        <v>0</v>
      </c>
      <c r="L24">
        <f>VLOOKUP($A24,'2024.04'!$A$2:$B$26,2,FALSE)</f>
        <v>1</v>
      </c>
      <c r="M24">
        <f>VLOOKUP($A24,'2024.05'!$A$2:$B$27,2,FALSE)</f>
        <v>0</v>
      </c>
      <c r="N24">
        <f>VLOOKUP($A24,'2024.06'!$A$2:$B$27,2,FALSE)</f>
        <v>0</v>
      </c>
      <c r="O24">
        <f>VLOOKUP($A24,'2024.07'!$A$2:$B$27,2,FALSE)</f>
        <v>0</v>
      </c>
      <c r="P24">
        <f>VLOOKUP($A24,'2024.08'!$A$2:$B$28,2,FALSE)</f>
        <v>0</v>
      </c>
      <c r="Q24">
        <f>VLOOKUP($A24,'2024.09'!$A$2:$B$28,2,FALSE)</f>
        <v>0</v>
      </c>
      <c r="R24">
        <f>VLOOKUP($A24,'2024.10'!$A$2:$B$28,2,FALSE)</f>
        <v>0</v>
      </c>
      <c r="S24">
        <f>VLOOKUP($A24,'2024.11'!$A$2:$B$28,2,FALSE)</f>
        <v>0</v>
      </c>
      <c r="T24">
        <f>VLOOKUP($A24,'2024.12'!$A$2:$B$28,2,FALSE)</f>
        <v>0</v>
      </c>
      <c r="U24">
        <f>VLOOKUP($A24,'2025.01'!$A$2:$B$28,2,FALSE)</f>
        <v>1</v>
      </c>
      <c r="V24">
        <f>VLOOKUP($A24,'2025.02'!$A$2:$B$28,2,FALSE)</f>
        <v>0</v>
      </c>
      <c r="W24">
        <f>VLOOKUP($A24,'2025.03'!$A$2:$B$28,2,FALSE)</f>
        <v>0</v>
      </c>
      <c r="X24">
        <f>VLOOKUP($A24,'2025.04'!$A$2:$B$28,2,FALSE)</f>
        <v>1</v>
      </c>
      <c r="Y24">
        <f>VLOOKUP($A24,'2025.05'!$A$2:$B$28,2,FALSE)</f>
        <v>0</v>
      </c>
      <c r="Z24">
        <f>VLOOKUP($A24,'2025.06'!$A$2:$B$28,2,FALSE)</f>
        <v>1</v>
      </c>
      <c r="AA24">
        <f>VLOOKUP($A24,'2025.07'!$A$2:$B$28,2,FALSE)</f>
        <v>0</v>
      </c>
      <c r="AB24">
        <f>VLOOKUP($A24,'2025.08'!$A$2:$B$28,2,FALSE)</f>
        <v>0</v>
      </c>
      <c r="AC24">
        <f>VLOOKUP($A24,'2025.09'!$A$2:$B$28,2,FALSE)</f>
        <v>0</v>
      </c>
      <c r="AD24">
        <f>VLOOKUP($A24,'2025.10'!$A$2:$B$28,2,FALSE)</f>
        <v>0</v>
      </c>
      <c r="AE24">
        <f>VLOOKUP($A24,'2025.11'!$A$2:$B$28,2,FALSE)</f>
        <v>0</v>
      </c>
      <c r="AF24">
        <f>VLOOKUP($A24,'2025.12'!$A$2:$B$28,2,FALSE)</f>
        <v>0</v>
      </c>
      <c r="AG24">
        <f>VLOOKUP($A24,'2026.01'!$A$2:$B$28,2,FALSE)</f>
        <v>0</v>
      </c>
      <c r="AH24">
        <f>VLOOKUP($A24,'2026.02'!$A$2:$B$28,2,FALSE)</f>
        <v>0</v>
      </c>
      <c r="AI24">
        <f>VLOOKUP($A24,'2026.03'!$A$2:$B$28,2,FALSE)</f>
        <v>0</v>
      </c>
      <c r="AJ24">
        <f>VLOOKUP($A24,'2026.04'!$A$2:$B$28,2,FALSE)</f>
        <v>0</v>
      </c>
      <c r="AK24">
        <f>VLOOKUP($A24,'2026.05'!$A$2:$B$28,2,FALSE)</f>
        <v>1</v>
      </c>
    </row>
    <row r="25" spans="1:37" x14ac:dyDescent="0.3">
      <c r="A25" t="s">
        <v>118</v>
      </c>
      <c r="B25">
        <f t="shared" si="0"/>
        <v>6</v>
      </c>
      <c r="C25" s="2">
        <f t="shared" si="1"/>
        <v>1.4771048744460858E-3</v>
      </c>
      <c r="D25">
        <f t="shared" si="2"/>
        <v>4</v>
      </c>
      <c r="E25">
        <f t="shared" si="3"/>
        <v>1</v>
      </c>
      <c r="F25">
        <f>VLOOKUP($A25,'2023.10'!$A$2:$B$26,2,FALSE)</f>
        <v>1</v>
      </c>
      <c r="G25">
        <f>VLOOKUP($A25,'2023.11'!$A$2:$B$26,2,FALSE)</f>
        <v>0</v>
      </c>
      <c r="H25">
        <f>VLOOKUP($A25,'2023.12'!$A$2:$B$26,2,FALSE)</f>
        <v>0</v>
      </c>
      <c r="I25">
        <f>VLOOKUP($A25,'2024.01'!$A$2:$B$26,2,FALSE)</f>
        <v>0</v>
      </c>
      <c r="J25">
        <f>VLOOKUP($A25,'2024.02'!$A$2:$B$26,2,FALSE)</f>
        <v>0</v>
      </c>
      <c r="K25">
        <f>VLOOKUP($A25,'2024.03'!$A$2:$B$26,2,FALSE)</f>
        <v>1</v>
      </c>
      <c r="L25">
        <f>VLOOKUP($A25,'2024.04'!$A$2:$B$26,2,FALSE)</f>
        <v>1</v>
      </c>
      <c r="M25">
        <f>VLOOKUP($A25,'2024.05'!$A$2:$B$27,2,FALSE)</f>
        <v>1</v>
      </c>
      <c r="N25">
        <f>VLOOKUP($A25,'2024.06'!$A$2:$B$27,2,FALSE)</f>
        <v>0</v>
      </c>
      <c r="O25">
        <f>VLOOKUP($A25,'2024.07'!$A$2:$B$27,2,FALSE)</f>
        <v>0</v>
      </c>
      <c r="P25">
        <f>VLOOKUP($A25,'2024.08'!$A$2:$B$28,2,FALSE)</f>
        <v>0</v>
      </c>
      <c r="Q25">
        <f>VLOOKUP($A25,'2024.09'!$A$2:$B$28,2,FALSE)</f>
        <v>0</v>
      </c>
      <c r="R25">
        <f>VLOOKUP($A25,'2024.10'!$A$2:$B$28,2,FALSE)</f>
        <v>0</v>
      </c>
      <c r="S25">
        <f>VLOOKUP($A25,'2024.11'!$A$2:$B$28,2,FALSE)</f>
        <v>1</v>
      </c>
      <c r="T25">
        <f>VLOOKUP($A25,'2024.12'!$A$2:$B$28,2,FALSE)</f>
        <v>0</v>
      </c>
      <c r="U25">
        <f>VLOOKUP($A25,'2025.01'!$A$2:$B$28,2,FALSE)</f>
        <v>0</v>
      </c>
      <c r="V25">
        <f>VLOOKUP($A25,'2025.02'!$A$2:$B$28,2,FALSE)</f>
        <v>0</v>
      </c>
      <c r="W25">
        <f>VLOOKUP($A25,'2025.03'!$A$2:$B$28,2,FALSE)</f>
        <v>0</v>
      </c>
      <c r="X25">
        <f>VLOOKUP($A25,'2025.04'!$A$2:$B$28,2,FALSE)</f>
        <v>0</v>
      </c>
      <c r="Y25">
        <f>VLOOKUP($A25,'2025.05'!$A$2:$B$28,2,FALSE)</f>
        <v>0</v>
      </c>
      <c r="Z25">
        <f>VLOOKUP($A25,'2025.06'!$A$2:$B$28,2,FALSE)</f>
        <v>0</v>
      </c>
      <c r="AA25">
        <f>VLOOKUP($A25,'2025.07'!$A$2:$B$28,2,FALSE)</f>
        <v>1</v>
      </c>
      <c r="AB25">
        <f>VLOOKUP($A25,'2025.08'!$A$2:$B$28,2,FALSE)</f>
        <v>0</v>
      </c>
      <c r="AC25">
        <f>VLOOKUP($A25,'2025.09'!$A$2:$B$28,2,FALSE)</f>
        <v>0</v>
      </c>
      <c r="AD25">
        <f>VLOOKUP($A25,'2025.10'!$A$2:$B$28,2,FALSE)</f>
        <v>0</v>
      </c>
      <c r="AE25">
        <f>VLOOKUP($A25,'2025.11'!$A$2:$B$28,2,FALSE)</f>
        <v>0</v>
      </c>
      <c r="AF25">
        <f>VLOOKUP($A25,'2025.12'!$A$2:$B$28,2,FALSE)</f>
        <v>0</v>
      </c>
      <c r="AG25">
        <f>VLOOKUP($A25,'2026.01'!$A$2:$B$28,2,FALSE)</f>
        <v>0</v>
      </c>
      <c r="AH25">
        <f>VLOOKUP($A25,'2026.02'!$A$2:$B$28,2,FALSE)</f>
        <v>0</v>
      </c>
      <c r="AI25">
        <f>VLOOKUP($A25,'2026.03'!$A$2:$B$28,2,FALSE)</f>
        <v>0</v>
      </c>
      <c r="AJ25">
        <f>VLOOKUP($A25,'2026.04'!$A$2:$B$28,2,FALSE)</f>
        <v>0</v>
      </c>
      <c r="AK25">
        <f>VLOOKUP($A25,'2026.05'!$A$2:$B$28,2,FALSE)</f>
        <v>0</v>
      </c>
    </row>
    <row r="26" spans="1:37" x14ac:dyDescent="0.3">
      <c r="A26" t="s">
        <v>117</v>
      </c>
      <c r="B26">
        <f t="shared" si="0"/>
        <v>7</v>
      </c>
      <c r="C26" s="2">
        <f t="shared" si="1"/>
        <v>1.7232890201870998E-3</v>
      </c>
      <c r="D26">
        <f t="shared" si="2"/>
        <v>3</v>
      </c>
      <c r="E26">
        <f t="shared" si="3"/>
        <v>3</v>
      </c>
      <c r="F26">
        <f>VLOOKUP($A26,'2023.10'!$A$2:$B$26,2,FALSE)</f>
        <v>0</v>
      </c>
      <c r="G26">
        <f>VLOOKUP($A26,'2023.11'!$A$2:$B$26,2,FALSE)</f>
        <v>0</v>
      </c>
      <c r="H26">
        <f>VLOOKUP($A26,'2023.12'!$A$2:$B$26,2,FALSE)</f>
        <v>0</v>
      </c>
      <c r="I26">
        <f>VLOOKUP($A26,'2024.01'!$A$2:$B$26,2,FALSE)</f>
        <v>0</v>
      </c>
      <c r="J26">
        <f>VLOOKUP($A26,'2024.02'!$A$2:$B$26,2,FALSE)</f>
        <v>0</v>
      </c>
      <c r="K26">
        <f>VLOOKUP($A26,'2024.03'!$A$2:$B$26,2,FALSE)</f>
        <v>1</v>
      </c>
      <c r="L26">
        <f>VLOOKUP($A26,'2024.04'!$A$2:$B$26,2,FALSE)</f>
        <v>0</v>
      </c>
      <c r="M26">
        <f>VLOOKUP($A26,'2024.05'!$A$2:$B$27,2,FALSE)</f>
        <v>0</v>
      </c>
      <c r="N26">
        <f>VLOOKUP($A26,'2024.06'!$A$2:$B$27,2,FALSE)</f>
        <v>0</v>
      </c>
      <c r="O26">
        <f>VLOOKUP($A26,'2024.07'!$A$2:$B$27,2,FALSE)</f>
        <v>0</v>
      </c>
      <c r="P26">
        <f>VLOOKUP($A26,'2024.08'!$A$2:$B$28,2,FALSE)</f>
        <v>2</v>
      </c>
      <c r="Q26">
        <f>VLOOKUP($A26,'2024.09'!$A$2:$B$28,2,FALSE)</f>
        <v>0</v>
      </c>
      <c r="R26">
        <f>VLOOKUP($A26,'2024.10'!$A$2:$B$28,2,FALSE)</f>
        <v>0</v>
      </c>
      <c r="S26">
        <f>VLOOKUP($A26,'2024.11'!$A$2:$B$28,2,FALSE)</f>
        <v>0</v>
      </c>
      <c r="T26">
        <f>VLOOKUP($A26,'2024.12'!$A$2:$B$28,2,FALSE)</f>
        <v>0</v>
      </c>
      <c r="U26">
        <f>VLOOKUP($A26,'2025.01'!$A$2:$B$28,2,FALSE)</f>
        <v>0</v>
      </c>
      <c r="V26">
        <f>VLOOKUP($A26,'2025.02'!$A$2:$B$28,2,FALSE)</f>
        <v>0</v>
      </c>
      <c r="W26">
        <f>VLOOKUP($A26,'2025.03'!$A$2:$B$28,2,FALSE)</f>
        <v>0</v>
      </c>
      <c r="X26">
        <f>VLOOKUP($A26,'2025.04'!$A$2:$B$28,2,FALSE)</f>
        <v>0</v>
      </c>
      <c r="Y26">
        <f>VLOOKUP($A26,'2025.05'!$A$2:$B$28,2,FALSE)</f>
        <v>0</v>
      </c>
      <c r="Z26">
        <f>VLOOKUP($A26,'2025.06'!$A$2:$B$28,2,FALSE)</f>
        <v>0</v>
      </c>
      <c r="AA26">
        <f>VLOOKUP($A26,'2025.07'!$A$2:$B$28,2,FALSE)</f>
        <v>0</v>
      </c>
      <c r="AB26">
        <f>VLOOKUP($A26,'2025.08'!$A$2:$B$28,2,FALSE)</f>
        <v>2</v>
      </c>
      <c r="AC26">
        <f>VLOOKUP($A26,'2025.09'!$A$2:$B$28,2,FALSE)</f>
        <v>0</v>
      </c>
      <c r="AD26">
        <f>VLOOKUP($A26,'2025.10'!$A$2:$B$28,2,FALSE)</f>
        <v>1</v>
      </c>
      <c r="AE26">
        <f>VLOOKUP($A26,'2025.11'!$A$2:$B$28,2,FALSE)</f>
        <v>0</v>
      </c>
      <c r="AF26">
        <f>VLOOKUP($A26,'2025.12'!$A$2:$B$28,2,FALSE)</f>
        <v>0</v>
      </c>
      <c r="AG26">
        <f>VLOOKUP($A26,'2026.01'!$A$2:$B$28,2,FALSE)</f>
        <v>0</v>
      </c>
      <c r="AH26">
        <f>VLOOKUP($A26,'2026.02'!$A$2:$B$28,2,FALSE)</f>
        <v>0</v>
      </c>
      <c r="AI26">
        <f>VLOOKUP($A26,'2026.03'!$A$2:$B$28,2,FALSE)</f>
        <v>1</v>
      </c>
      <c r="AJ26">
        <f>VLOOKUP($A26,'2026.04'!$A$2:$B$28,2,FALSE)</f>
        <v>0</v>
      </c>
      <c r="AK26">
        <f>VLOOKUP($A26,'2026.05'!$A$2:$B$28,2,FALSE)</f>
        <v>0</v>
      </c>
    </row>
    <row r="27" spans="1:37" x14ac:dyDescent="0.3">
      <c r="A27" t="s">
        <v>114</v>
      </c>
      <c r="B27">
        <f t="shared" si="0"/>
        <v>5</v>
      </c>
      <c r="C27" s="2">
        <f t="shared" si="1"/>
        <v>1.2309207287050715E-3</v>
      </c>
      <c r="D27">
        <f t="shared" si="2"/>
        <v>1</v>
      </c>
      <c r="E27">
        <f t="shared" si="3"/>
        <v>2</v>
      </c>
      <c r="F27">
        <f>VLOOKUP($A27,'2023.10'!$A$2:$B$26,2,FALSE)</f>
        <v>0</v>
      </c>
      <c r="G27">
        <f>VLOOKUP($A27,'2023.11'!$A$2:$B$26,2,FALSE)</f>
        <v>0</v>
      </c>
      <c r="H27">
        <f>VLOOKUP($A27,'2023.12'!$A$2:$B$26,2,FALSE)</f>
        <v>0</v>
      </c>
      <c r="I27">
        <f>VLOOKUP($A27,'2024.01'!$A$2:$B$26,2,FALSE)</f>
        <v>0</v>
      </c>
      <c r="J27">
        <f>VLOOKUP($A27,'2024.02'!$A$2:$B$26,2,FALSE)</f>
        <v>0</v>
      </c>
      <c r="K27">
        <f>VLOOKUP($A27,'2024.03'!$A$2:$B$26,2,FALSE)</f>
        <v>0</v>
      </c>
      <c r="L27">
        <f>VLOOKUP($A27,'2024.04'!$A$2:$B$26,2,FALSE)</f>
        <v>0</v>
      </c>
      <c r="M27">
        <f>VLOOKUP($A27,'2024.05'!$A$2:$B$27,2,FALSE)</f>
        <v>0</v>
      </c>
      <c r="N27">
        <f>VLOOKUP($A27,'2024.06'!$A$2:$B$27,2,FALSE)</f>
        <v>0</v>
      </c>
      <c r="O27">
        <f>VLOOKUP($A27,'2024.07'!$A$2:$B$27,2,FALSE)</f>
        <v>0</v>
      </c>
      <c r="P27">
        <f>VLOOKUP($A27,'2024.08'!$A$2:$B$28,2,FALSE)</f>
        <v>1</v>
      </c>
      <c r="Q27">
        <f>VLOOKUP($A27,'2024.09'!$A$2:$B$28,2,FALSE)</f>
        <v>0</v>
      </c>
      <c r="R27">
        <f>VLOOKUP($A27,'2024.10'!$A$2:$B$28,2,FALSE)</f>
        <v>0</v>
      </c>
      <c r="S27">
        <f>VLOOKUP($A27,'2024.11'!$A$2:$B$28,2,FALSE)</f>
        <v>0</v>
      </c>
      <c r="T27">
        <f>VLOOKUP($A27,'2024.12'!$A$2:$B$28,2,FALSE)</f>
        <v>0</v>
      </c>
      <c r="U27">
        <f>VLOOKUP($A27,'2025.01'!$A$2:$B$28,2,FALSE)</f>
        <v>1</v>
      </c>
      <c r="V27">
        <f>VLOOKUP($A27,'2025.02'!$A$2:$B$28,2,FALSE)</f>
        <v>0</v>
      </c>
      <c r="W27">
        <f>VLOOKUP($A27,'2025.03'!$A$2:$B$28,2,FALSE)</f>
        <v>0</v>
      </c>
      <c r="X27">
        <f>VLOOKUP($A27,'2025.04'!$A$2:$B$28,2,FALSE)</f>
        <v>0</v>
      </c>
      <c r="Y27">
        <f>VLOOKUP($A27,'2025.05'!$A$2:$B$28,2,FALSE)</f>
        <v>0</v>
      </c>
      <c r="Z27">
        <f>VLOOKUP($A27,'2025.06'!$A$2:$B$28,2,FALSE)</f>
        <v>0</v>
      </c>
      <c r="AA27">
        <f>VLOOKUP($A27,'2025.07'!$A$2:$B$28,2,FALSE)</f>
        <v>0</v>
      </c>
      <c r="AB27">
        <f>VLOOKUP($A27,'2025.08'!$A$2:$B$28,2,FALSE)</f>
        <v>0</v>
      </c>
      <c r="AC27">
        <f>VLOOKUP($A27,'2025.09'!$A$2:$B$28,2,FALSE)</f>
        <v>0</v>
      </c>
      <c r="AD27">
        <f>VLOOKUP($A27,'2025.10'!$A$2:$B$28,2,FALSE)</f>
        <v>0</v>
      </c>
      <c r="AE27">
        <f>VLOOKUP($A27,'2025.11'!$A$2:$B$28,2,FALSE)</f>
        <v>0</v>
      </c>
      <c r="AF27">
        <f>VLOOKUP($A27,'2025.12'!$A$2:$B$28,2,FALSE)</f>
        <v>1</v>
      </c>
      <c r="AG27">
        <f>VLOOKUP($A27,'2026.01'!$A$2:$B$28,2,FALSE)</f>
        <v>1</v>
      </c>
      <c r="AH27">
        <f>VLOOKUP($A27,'2026.02'!$A$2:$B$28,2,FALSE)</f>
        <v>0</v>
      </c>
      <c r="AI27">
        <f>VLOOKUP($A27,'2026.03'!$A$2:$B$28,2,FALSE)</f>
        <v>0</v>
      </c>
      <c r="AJ27">
        <f>VLOOKUP($A27,'2026.04'!$A$2:$B$28,2,FALSE)</f>
        <v>0</v>
      </c>
      <c r="AK27">
        <f>VLOOKUP($A27,'2026.05'!$A$2:$B$28,2,FALSE)</f>
        <v>1</v>
      </c>
    </row>
    <row r="28" spans="1:37" x14ac:dyDescent="0.3">
      <c r="A28" t="s">
        <v>126</v>
      </c>
      <c r="B28">
        <f t="shared" si="0"/>
        <v>3</v>
      </c>
      <c r="C28" s="2">
        <f t="shared" si="1"/>
        <v>7.3855243722304289E-4</v>
      </c>
      <c r="D28">
        <f t="shared" si="2"/>
        <v>0</v>
      </c>
      <c r="E28">
        <f t="shared" si="3"/>
        <v>2</v>
      </c>
      <c r="P28">
        <f>VLOOKUP($A28,'2024.08'!$A$2:$B$28,2,FALSE)</f>
        <v>0</v>
      </c>
      <c r="Q28">
        <f>VLOOKUP($A28,'2024.09'!$A$2:$B$28,2,FALSE)</f>
        <v>0</v>
      </c>
      <c r="R28">
        <f>VLOOKUP($A28,'2024.10'!$A$2:$B$28,2,FALSE)</f>
        <v>0</v>
      </c>
      <c r="S28">
        <f>VLOOKUP($A28,'2024.11'!$A$2:$B$28,2,FALSE)</f>
        <v>0</v>
      </c>
      <c r="T28">
        <f>VLOOKUP($A28,'2024.12'!$A$2:$B$28,2,FALSE)</f>
        <v>0</v>
      </c>
      <c r="U28">
        <f>VLOOKUP($A28,'2025.01'!$A$2:$B$28,2,FALSE)</f>
        <v>0</v>
      </c>
      <c r="V28">
        <f>VLOOKUP($A28,'2025.02'!$A$2:$B$28,2,FALSE)</f>
        <v>1</v>
      </c>
      <c r="W28">
        <f>VLOOKUP($A28,'2025.03'!$A$2:$B$28,2,FALSE)</f>
        <v>0</v>
      </c>
      <c r="X28">
        <f>VLOOKUP($A28,'2025.04'!$A$2:$B$28,2,FALSE)</f>
        <v>0</v>
      </c>
      <c r="Y28">
        <f>VLOOKUP($A28,'2025.05'!$A$2:$B$28,2,FALSE)</f>
        <v>0</v>
      </c>
      <c r="Z28">
        <f>VLOOKUP($A28,'2025.06'!$A$2:$B$28,2,FALSE)</f>
        <v>0</v>
      </c>
      <c r="AA28">
        <f>VLOOKUP($A28,'2025.07'!$A$2:$B$28,2,FALSE)</f>
        <v>0</v>
      </c>
      <c r="AB28">
        <f>VLOOKUP($A28,'2025.08'!$A$2:$B$28,2,FALSE)</f>
        <v>0</v>
      </c>
      <c r="AC28">
        <f>VLOOKUP($A28,'2025.09'!$A$2:$B$28,2,FALSE)</f>
        <v>0</v>
      </c>
      <c r="AD28">
        <f>VLOOKUP($A28,'2025.10'!$A$2:$B$28,2,FALSE)</f>
        <v>0</v>
      </c>
      <c r="AE28">
        <f>VLOOKUP($A28,'2025.11'!$A$2:$B$28,2,FALSE)</f>
        <v>0</v>
      </c>
      <c r="AF28">
        <f>VLOOKUP($A28,'2025.12'!$A$2:$B$28,2,FALSE)</f>
        <v>1</v>
      </c>
      <c r="AG28">
        <f>VLOOKUP($A28,'2026.01'!$A$2:$B$28,2,FALSE)</f>
        <v>1</v>
      </c>
      <c r="AH28">
        <f>VLOOKUP($A28,'2026.02'!$A$2:$B$28,2,FALSE)</f>
        <v>0</v>
      </c>
      <c r="AI28">
        <f>VLOOKUP($A28,'2026.03'!$A$2:$B$28,2,FALSE)</f>
        <v>0</v>
      </c>
      <c r="AJ28">
        <f>VLOOKUP($A28,'2026.04'!$A$2:$B$28,2,FALSE)</f>
        <v>0</v>
      </c>
      <c r="AK28">
        <f>VLOOKUP($A28,'2026.05'!$A$2:$B$28,2,FALSE)</f>
        <v>0</v>
      </c>
    </row>
    <row r="30" spans="1:37" x14ac:dyDescent="0.3">
      <c r="A30" t="s">
        <v>147</v>
      </c>
      <c r="B30">
        <f>SUM(B2:B28)</f>
        <v>4062</v>
      </c>
      <c r="C30" s="3">
        <f>SUM(C2:C28)</f>
        <v>1</v>
      </c>
      <c r="D30">
        <f>SUM(D2:D28)</f>
        <v>1734</v>
      </c>
    </row>
    <row r="84" spans="1:7" x14ac:dyDescent="0.3">
      <c r="A84" t="s">
        <v>130</v>
      </c>
      <c r="B84" t="s">
        <v>127</v>
      </c>
      <c r="D84" t="s">
        <v>148</v>
      </c>
      <c r="F84" t="s">
        <v>0</v>
      </c>
      <c r="G84" t="s">
        <v>128</v>
      </c>
    </row>
    <row r="85" spans="1:7" x14ac:dyDescent="0.3">
      <c r="A85" t="s">
        <v>131</v>
      </c>
      <c r="B85">
        <v>580</v>
      </c>
      <c r="D85" s="2">
        <f>B85/$B$112</f>
        <v>0.3344867358708189</v>
      </c>
      <c r="E85" s="2"/>
      <c r="F85" t="s">
        <v>96</v>
      </c>
      <c r="G85">
        <f t="shared" ref="G85:G110" si="4">SUM(I2:T2)</f>
        <v>580</v>
      </c>
    </row>
    <row r="86" spans="1:7" x14ac:dyDescent="0.3">
      <c r="A86" t="s">
        <v>3</v>
      </c>
      <c r="B86">
        <v>165</v>
      </c>
      <c r="D86" s="2">
        <f t="shared" ref="D86:D110" si="5">B86/$B$112</f>
        <v>9.5155709342560554E-2</v>
      </c>
      <c r="E86" s="2"/>
      <c r="F86" t="s">
        <v>98</v>
      </c>
      <c r="G86">
        <f t="shared" si="4"/>
        <v>164</v>
      </c>
    </row>
    <row r="87" spans="1:7" x14ac:dyDescent="0.3">
      <c r="A87" t="s">
        <v>2</v>
      </c>
      <c r="B87">
        <v>164</v>
      </c>
      <c r="D87" s="2">
        <f t="shared" si="5"/>
        <v>9.4579008073817764E-2</v>
      </c>
      <c r="E87" s="2"/>
      <c r="F87" t="s">
        <v>103</v>
      </c>
      <c r="G87">
        <f t="shared" si="4"/>
        <v>165</v>
      </c>
    </row>
    <row r="88" spans="1:7" x14ac:dyDescent="0.3">
      <c r="A88" t="s">
        <v>132</v>
      </c>
      <c r="B88">
        <v>151</v>
      </c>
      <c r="D88" s="2">
        <f t="shared" si="5"/>
        <v>8.7081891580161483E-2</v>
      </c>
      <c r="E88" s="2"/>
      <c r="F88" t="s">
        <v>99</v>
      </c>
      <c r="G88">
        <f t="shared" si="4"/>
        <v>151</v>
      </c>
    </row>
    <row r="89" spans="1:7" x14ac:dyDescent="0.3">
      <c r="A89" t="s">
        <v>9</v>
      </c>
      <c r="B89">
        <v>86</v>
      </c>
      <c r="D89" s="2">
        <f t="shared" si="5"/>
        <v>4.9596309111880045E-2</v>
      </c>
      <c r="E89" s="2"/>
      <c r="F89" t="s">
        <v>97</v>
      </c>
      <c r="G89">
        <f t="shared" si="4"/>
        <v>86</v>
      </c>
    </row>
    <row r="90" spans="1:7" x14ac:dyDescent="0.3">
      <c r="A90" t="s">
        <v>10</v>
      </c>
      <c r="B90">
        <v>84</v>
      </c>
      <c r="D90" s="2">
        <f t="shared" si="5"/>
        <v>4.8442906574394463E-2</v>
      </c>
      <c r="E90" s="2"/>
      <c r="F90" t="s">
        <v>105</v>
      </c>
      <c r="G90">
        <f t="shared" si="4"/>
        <v>76</v>
      </c>
    </row>
    <row r="91" spans="1:7" x14ac:dyDescent="0.3">
      <c r="A91" t="s">
        <v>133</v>
      </c>
      <c r="B91">
        <v>76</v>
      </c>
      <c r="D91" s="2">
        <f t="shared" si="5"/>
        <v>4.3829296424452137E-2</v>
      </c>
      <c r="E91" s="2"/>
      <c r="F91" t="s">
        <v>100</v>
      </c>
      <c r="G91">
        <f t="shared" si="4"/>
        <v>84</v>
      </c>
    </row>
    <row r="92" spans="1:7" x14ac:dyDescent="0.3">
      <c r="A92" t="s">
        <v>134</v>
      </c>
      <c r="B92">
        <v>56</v>
      </c>
      <c r="D92" s="2">
        <f t="shared" si="5"/>
        <v>3.2295271049596307E-2</v>
      </c>
      <c r="E92" s="2"/>
      <c r="F92" t="s">
        <v>102</v>
      </c>
      <c r="G92">
        <f t="shared" si="4"/>
        <v>56</v>
      </c>
    </row>
    <row r="93" spans="1:7" x14ac:dyDescent="0.3">
      <c r="A93" t="s">
        <v>7</v>
      </c>
      <c r="B93">
        <v>48</v>
      </c>
      <c r="D93" s="2">
        <f t="shared" si="5"/>
        <v>2.768166089965398E-2</v>
      </c>
      <c r="E93" s="2"/>
      <c r="F93" t="s">
        <v>109</v>
      </c>
      <c r="G93">
        <f t="shared" si="4"/>
        <v>41</v>
      </c>
    </row>
    <row r="94" spans="1:7" x14ac:dyDescent="0.3">
      <c r="A94" t="s">
        <v>8</v>
      </c>
      <c r="B94">
        <v>48</v>
      </c>
      <c r="D94" s="2">
        <f t="shared" si="5"/>
        <v>2.768166089965398E-2</v>
      </c>
      <c r="E94" s="2"/>
      <c r="F94" t="s">
        <v>110</v>
      </c>
      <c r="G94">
        <f t="shared" si="4"/>
        <v>48</v>
      </c>
    </row>
    <row r="95" spans="1:7" x14ac:dyDescent="0.3">
      <c r="A95" t="s">
        <v>6</v>
      </c>
      <c r="B95">
        <v>45</v>
      </c>
      <c r="D95" s="2">
        <f t="shared" si="5"/>
        <v>2.5951557093425604E-2</v>
      </c>
      <c r="E95" s="2"/>
      <c r="F95" t="s">
        <v>104</v>
      </c>
      <c r="G95">
        <f t="shared" si="4"/>
        <v>45</v>
      </c>
    </row>
    <row r="96" spans="1:7" x14ac:dyDescent="0.3">
      <c r="A96" t="s">
        <v>135</v>
      </c>
      <c r="B96">
        <v>41</v>
      </c>
      <c r="D96" s="2">
        <f t="shared" si="5"/>
        <v>2.3644752018454441E-2</v>
      </c>
      <c r="E96" s="2"/>
      <c r="F96" t="s">
        <v>111</v>
      </c>
      <c r="G96">
        <f t="shared" si="4"/>
        <v>48</v>
      </c>
    </row>
    <row r="97" spans="1:7" x14ac:dyDescent="0.3">
      <c r="A97" t="s">
        <v>5</v>
      </c>
      <c r="B97">
        <v>36</v>
      </c>
      <c r="D97" s="2">
        <f t="shared" si="5"/>
        <v>2.0761245674740483E-2</v>
      </c>
      <c r="E97" s="2"/>
      <c r="F97" t="s">
        <v>101</v>
      </c>
      <c r="G97">
        <f t="shared" si="4"/>
        <v>36</v>
      </c>
    </row>
    <row r="98" spans="1:7" x14ac:dyDescent="0.3">
      <c r="A98" t="s">
        <v>138</v>
      </c>
      <c r="B98">
        <v>35</v>
      </c>
      <c r="D98" s="2">
        <f t="shared" si="5"/>
        <v>2.0184544405997693E-2</v>
      </c>
      <c r="E98" s="2"/>
      <c r="F98" t="s">
        <v>112</v>
      </c>
      <c r="G98">
        <f t="shared" si="4"/>
        <v>27</v>
      </c>
    </row>
    <row r="99" spans="1:7" x14ac:dyDescent="0.3">
      <c r="A99" t="s">
        <v>136</v>
      </c>
      <c r="B99">
        <v>27</v>
      </c>
      <c r="D99" s="2">
        <f t="shared" si="5"/>
        <v>1.5570934256055362E-2</v>
      </c>
      <c r="E99" s="2"/>
      <c r="F99" t="s">
        <v>108</v>
      </c>
      <c r="G99">
        <f t="shared" si="4"/>
        <v>19</v>
      </c>
    </row>
    <row r="100" spans="1:7" x14ac:dyDescent="0.3">
      <c r="A100" t="s">
        <v>82</v>
      </c>
      <c r="B100">
        <v>21</v>
      </c>
      <c r="D100" s="2">
        <f t="shared" si="5"/>
        <v>1.2110726643598616E-2</v>
      </c>
      <c r="E100" s="2"/>
      <c r="F100" t="s">
        <v>123</v>
      </c>
      <c r="G100">
        <f t="shared" si="4"/>
        <v>35</v>
      </c>
    </row>
    <row r="101" spans="1:7" x14ac:dyDescent="0.3">
      <c r="A101" t="s">
        <v>137</v>
      </c>
      <c r="B101">
        <v>19</v>
      </c>
      <c r="D101" s="2">
        <f t="shared" si="5"/>
        <v>1.0957324106113034E-2</v>
      </c>
      <c r="E101" s="2"/>
      <c r="F101" t="s">
        <v>113</v>
      </c>
      <c r="G101">
        <f t="shared" si="4"/>
        <v>21</v>
      </c>
    </row>
    <row r="102" spans="1:7" x14ac:dyDescent="0.3">
      <c r="A102" t="s">
        <v>4</v>
      </c>
      <c r="B102">
        <v>13</v>
      </c>
      <c r="D102" s="2">
        <f t="shared" si="5"/>
        <v>7.4971164936562858E-3</v>
      </c>
      <c r="E102" s="2"/>
      <c r="F102" t="s">
        <v>107</v>
      </c>
      <c r="G102">
        <f t="shared" si="4"/>
        <v>13</v>
      </c>
    </row>
    <row r="103" spans="1:7" x14ac:dyDescent="0.3">
      <c r="A103" t="s">
        <v>139</v>
      </c>
      <c r="B103">
        <v>12</v>
      </c>
      <c r="D103" s="2">
        <f t="shared" si="5"/>
        <v>6.920415224913495E-3</v>
      </c>
      <c r="E103" s="2"/>
      <c r="F103" t="s">
        <v>116</v>
      </c>
      <c r="G103">
        <f t="shared" si="4"/>
        <v>12</v>
      </c>
    </row>
    <row r="104" spans="1:7" x14ac:dyDescent="0.3">
      <c r="A104" t="s">
        <v>140</v>
      </c>
      <c r="B104">
        <v>8</v>
      </c>
      <c r="D104" s="2">
        <f t="shared" si="5"/>
        <v>4.61361014994233E-3</v>
      </c>
      <c r="E104" s="2"/>
      <c r="F104" t="s">
        <v>106</v>
      </c>
      <c r="G104">
        <f t="shared" si="4"/>
        <v>8</v>
      </c>
    </row>
    <row r="105" spans="1:7" x14ac:dyDescent="0.3">
      <c r="A105" t="s">
        <v>141</v>
      </c>
      <c r="B105">
        <v>5</v>
      </c>
      <c r="D105" s="2">
        <f t="shared" si="5"/>
        <v>2.8835063437139563E-3</v>
      </c>
      <c r="E105" s="2"/>
      <c r="F105" t="s">
        <v>115</v>
      </c>
      <c r="G105">
        <f t="shared" si="4"/>
        <v>5</v>
      </c>
    </row>
    <row r="106" spans="1:7" x14ac:dyDescent="0.3">
      <c r="A106" t="s">
        <v>144</v>
      </c>
      <c r="B106">
        <v>4</v>
      </c>
      <c r="D106" s="2">
        <f t="shared" si="5"/>
        <v>2.306805074971165E-3</v>
      </c>
      <c r="E106" s="2"/>
      <c r="F106" t="s">
        <v>122</v>
      </c>
      <c r="G106">
        <f t="shared" si="4"/>
        <v>3</v>
      </c>
    </row>
    <row r="107" spans="1:7" x14ac:dyDescent="0.3">
      <c r="A107" t="s">
        <v>142</v>
      </c>
      <c r="B107">
        <v>3</v>
      </c>
      <c r="D107" s="2">
        <f t="shared" si="5"/>
        <v>1.7301038062283738E-3</v>
      </c>
      <c r="E107" s="2"/>
      <c r="F107" t="s">
        <v>119</v>
      </c>
      <c r="G107">
        <f t="shared" si="4"/>
        <v>3</v>
      </c>
    </row>
    <row r="108" spans="1:7" x14ac:dyDescent="0.3">
      <c r="A108" t="s">
        <v>143</v>
      </c>
      <c r="B108">
        <v>3</v>
      </c>
      <c r="D108" s="2">
        <f t="shared" si="5"/>
        <v>1.7301038062283738E-3</v>
      </c>
      <c r="E108" s="2"/>
      <c r="F108" t="s">
        <v>118</v>
      </c>
      <c r="G108">
        <f t="shared" si="4"/>
        <v>4</v>
      </c>
    </row>
    <row r="109" spans="1:7" x14ac:dyDescent="0.3">
      <c r="A109" t="s">
        <v>145</v>
      </c>
      <c r="B109">
        <v>3</v>
      </c>
      <c r="D109" s="2">
        <f t="shared" si="5"/>
        <v>1.7301038062283738E-3</v>
      </c>
      <c r="E109" s="2"/>
      <c r="F109" t="s">
        <v>117</v>
      </c>
      <c r="G109">
        <f t="shared" si="4"/>
        <v>3</v>
      </c>
    </row>
    <row r="110" spans="1:7" x14ac:dyDescent="0.3">
      <c r="A110" t="s">
        <v>146</v>
      </c>
      <c r="B110">
        <v>1</v>
      </c>
      <c r="D110" s="2">
        <f t="shared" si="5"/>
        <v>5.7670126874279125E-4</v>
      </c>
      <c r="E110" s="2"/>
      <c r="F110" t="s">
        <v>114</v>
      </c>
      <c r="G110">
        <f t="shared" si="4"/>
        <v>1</v>
      </c>
    </row>
    <row r="112" spans="1:7" x14ac:dyDescent="0.3">
      <c r="A112" t="s">
        <v>147</v>
      </c>
      <c r="B112">
        <f>SUM(B85:B110)</f>
        <v>1734</v>
      </c>
      <c r="D112" s="3">
        <f>SUM(D85:D110)</f>
        <v>0.99999999999999978</v>
      </c>
      <c r="E112" s="3"/>
    </row>
    <row r="123" spans="4:8" x14ac:dyDescent="0.3">
      <c r="D123" s="2"/>
      <c r="E123" s="2"/>
      <c r="H123" s="2"/>
    </row>
    <row r="124" spans="4:8" x14ac:dyDescent="0.3">
      <c r="D124" s="2"/>
      <c r="E124" s="2"/>
      <c r="H124" s="2"/>
    </row>
    <row r="125" spans="4:8" x14ac:dyDescent="0.3">
      <c r="D125" s="2"/>
      <c r="E125" s="2"/>
      <c r="H125" s="2"/>
    </row>
    <row r="126" spans="4:8" x14ac:dyDescent="0.3">
      <c r="D126" s="2"/>
      <c r="E126" s="2"/>
      <c r="H126" s="2"/>
    </row>
    <row r="127" spans="4:8" x14ac:dyDescent="0.3">
      <c r="D127" s="2"/>
      <c r="E127" s="2"/>
      <c r="H127" s="2"/>
    </row>
    <row r="128" spans="4:8" x14ac:dyDescent="0.3">
      <c r="D128" s="2"/>
      <c r="E128" s="2"/>
      <c r="H128" s="2"/>
    </row>
    <row r="129" spans="4:8" x14ac:dyDescent="0.3">
      <c r="D129" s="2"/>
      <c r="E129" s="2"/>
      <c r="H129" s="2"/>
    </row>
    <row r="130" spans="4:8" x14ac:dyDescent="0.3">
      <c r="D130" s="2"/>
      <c r="E130" s="2"/>
      <c r="H130" s="2"/>
    </row>
    <row r="131" spans="4:8" x14ac:dyDescent="0.3">
      <c r="D131" s="2"/>
      <c r="E131" s="2"/>
      <c r="H131" s="2"/>
    </row>
    <row r="132" spans="4:8" x14ac:dyDescent="0.3">
      <c r="D132" s="2"/>
      <c r="E132" s="2"/>
    </row>
    <row r="133" spans="4:8" x14ac:dyDescent="0.3">
      <c r="D133" s="2"/>
      <c r="E133" s="2"/>
    </row>
    <row r="134" spans="4:8" x14ac:dyDescent="0.3">
      <c r="D134" s="2"/>
      <c r="E134" s="2"/>
    </row>
    <row r="135" spans="4:8" x14ac:dyDescent="0.3">
      <c r="D135" s="2"/>
      <c r="E135" s="2"/>
    </row>
    <row r="136" spans="4:8" x14ac:dyDescent="0.3">
      <c r="D136" s="2"/>
      <c r="E136" s="2"/>
    </row>
    <row r="137" spans="4:8" x14ac:dyDescent="0.3">
      <c r="D137" s="2"/>
      <c r="E137" s="2"/>
    </row>
    <row r="138" spans="4:8" x14ac:dyDescent="0.3">
      <c r="D138" s="2"/>
      <c r="E138" s="2"/>
    </row>
    <row r="139" spans="4:8" x14ac:dyDescent="0.3">
      <c r="D139" s="2"/>
      <c r="E139" s="2"/>
    </row>
    <row r="140" spans="4:8" x14ac:dyDescent="0.3">
      <c r="D140" s="2"/>
      <c r="E140" s="2"/>
    </row>
    <row r="141" spans="4:8" x14ac:dyDescent="0.3">
      <c r="D141" s="2"/>
      <c r="E141" s="2"/>
    </row>
    <row r="142" spans="4:8" x14ac:dyDescent="0.3">
      <c r="D142" s="2"/>
      <c r="E142" s="2"/>
    </row>
    <row r="143" spans="4:8" x14ac:dyDescent="0.3">
      <c r="D143" s="2"/>
      <c r="E143" s="2"/>
    </row>
    <row r="144" spans="4:8" x14ac:dyDescent="0.3">
      <c r="D144" s="2"/>
      <c r="E144" s="2"/>
    </row>
    <row r="145" spans="4:5" x14ac:dyDescent="0.3">
      <c r="D145" s="2"/>
      <c r="E145" s="2"/>
    </row>
    <row r="146" spans="4:5" x14ac:dyDescent="0.3">
      <c r="D146" s="2"/>
      <c r="E146" s="2"/>
    </row>
    <row r="147" spans="4:5" x14ac:dyDescent="0.3">
      <c r="D147" s="2"/>
      <c r="E147" s="2"/>
    </row>
    <row r="148" spans="4:5" x14ac:dyDescent="0.3">
      <c r="D148" s="2"/>
      <c r="E148" s="2"/>
    </row>
    <row r="150" spans="4:5" x14ac:dyDescent="0.3">
      <c r="D150" s="2"/>
      <c r="E150" s="2"/>
    </row>
  </sheetData>
  <autoFilter ref="A84:B110" xr:uid="{092021CA-A808-47FD-928C-8FCD21C4AAC0}">
    <sortState xmlns:xlrd2="http://schemas.microsoft.com/office/spreadsheetml/2017/richdata2" ref="A85:B110">
      <sortCondition descending="1" ref="B84:B110"/>
    </sortState>
  </autoFilter>
  <phoneticPr fontId="1" type="noConversion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755B-5D4E-458E-9AC6-57D5FC987F74}">
  <dimension ref="A1:AK94"/>
  <sheetViews>
    <sheetView workbookViewId="0">
      <selection activeCell="C36" sqref="C36"/>
    </sheetView>
  </sheetViews>
  <sheetFormatPr defaultRowHeight="16.5" x14ac:dyDescent="0.3"/>
  <cols>
    <col min="1" max="1" width="20.625" bestFit="1" customWidth="1"/>
  </cols>
  <sheetData>
    <row r="1" spans="1:37" x14ac:dyDescent="0.3">
      <c r="A1" t="s">
        <v>13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39</v>
      </c>
      <c r="N1" s="1" t="s">
        <v>26</v>
      </c>
      <c r="O1" s="1" t="s">
        <v>27</v>
      </c>
      <c r="P1" s="1" t="s">
        <v>28</v>
      </c>
      <c r="Q1" s="1" t="s">
        <v>40</v>
      </c>
      <c r="R1" s="1" t="s">
        <v>29</v>
      </c>
      <c r="S1" s="1" t="s">
        <v>30</v>
      </c>
      <c r="T1" s="1" t="s">
        <v>31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K1" t="s">
        <v>51</v>
      </c>
    </row>
    <row r="2" spans="1:37" x14ac:dyDescent="0.3">
      <c r="A2" t="s">
        <v>16</v>
      </c>
      <c r="B2">
        <v>6863</v>
      </c>
      <c r="C2">
        <v>6793</v>
      </c>
      <c r="D2">
        <v>8268</v>
      </c>
      <c r="E2">
        <v>7667</v>
      </c>
      <c r="F2">
        <v>6853</v>
      </c>
      <c r="G2">
        <v>6187</v>
      </c>
      <c r="H2">
        <v>6280</v>
      </c>
      <c r="I2">
        <v>6130</v>
      </c>
      <c r="J2">
        <v>5901</v>
      </c>
      <c r="K2">
        <v>7347</v>
      </c>
      <c r="L2">
        <v>6885</v>
      </c>
      <c r="M2">
        <v>7014</v>
      </c>
      <c r="N2">
        <v>9111</v>
      </c>
      <c r="O2">
        <v>7045</v>
      </c>
      <c r="P2">
        <v>6942</v>
      </c>
      <c r="Q2">
        <v>6986</v>
      </c>
      <c r="R2">
        <v>7210</v>
      </c>
      <c r="S2">
        <v>7355</v>
      </c>
      <c r="T2">
        <v>7300</v>
      </c>
      <c r="U2">
        <v>7995</v>
      </c>
      <c r="V2">
        <v>8837</v>
      </c>
      <c r="W2">
        <v>7151</v>
      </c>
      <c r="X2">
        <v>8111</v>
      </c>
      <c r="Y2">
        <v>8002</v>
      </c>
      <c r="Z2">
        <v>7057</v>
      </c>
      <c r="AA2">
        <v>7154</v>
      </c>
      <c r="AB2">
        <v>8453</v>
      </c>
      <c r="AC2">
        <v>7883</v>
      </c>
      <c r="AD2">
        <v>5702</v>
      </c>
      <c r="AK2">
        <f t="shared" ref="AK2:AK11" si="0">SUM(B2:AD2)</f>
        <v>210482</v>
      </c>
    </row>
    <row r="3" spans="1:37" x14ac:dyDescent="0.3">
      <c r="A3" t="s">
        <v>14</v>
      </c>
      <c r="B3">
        <v>2054</v>
      </c>
      <c r="C3">
        <v>1304</v>
      </c>
      <c r="D3">
        <v>1346</v>
      </c>
      <c r="E3">
        <v>1952</v>
      </c>
      <c r="F3">
        <v>1960</v>
      </c>
      <c r="G3">
        <v>3306</v>
      </c>
      <c r="H3">
        <v>4460</v>
      </c>
      <c r="I3">
        <v>3552</v>
      </c>
      <c r="J3">
        <v>1497</v>
      </c>
      <c r="K3">
        <v>1740</v>
      </c>
      <c r="L3">
        <v>1810</v>
      </c>
      <c r="M3">
        <v>2974</v>
      </c>
      <c r="N3">
        <v>4041</v>
      </c>
      <c r="O3">
        <v>3464</v>
      </c>
      <c r="P3">
        <v>4342</v>
      </c>
      <c r="Q3">
        <v>4481</v>
      </c>
      <c r="R3">
        <v>5229</v>
      </c>
      <c r="S3">
        <v>5324</v>
      </c>
      <c r="T3">
        <v>3457</v>
      </c>
      <c r="U3">
        <v>4472</v>
      </c>
      <c r="V3">
        <v>1683</v>
      </c>
      <c r="W3">
        <v>1823</v>
      </c>
      <c r="X3">
        <v>1964</v>
      </c>
      <c r="Y3">
        <v>5342</v>
      </c>
      <c r="Z3">
        <v>5555</v>
      </c>
      <c r="AA3">
        <v>4222</v>
      </c>
      <c r="AB3">
        <v>5208</v>
      </c>
      <c r="AC3">
        <v>4233</v>
      </c>
      <c r="AD3">
        <v>1919</v>
      </c>
      <c r="AK3">
        <f t="shared" si="0"/>
        <v>94714</v>
      </c>
    </row>
    <row r="4" spans="1:37" x14ac:dyDescent="0.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6762</v>
      </c>
      <c r="I4">
        <v>7287</v>
      </c>
      <c r="J4">
        <v>8741</v>
      </c>
      <c r="K4">
        <v>4470</v>
      </c>
      <c r="L4">
        <v>9850</v>
      </c>
      <c r="M4">
        <v>12939</v>
      </c>
      <c r="N4">
        <v>4619</v>
      </c>
      <c r="O4">
        <v>1782</v>
      </c>
      <c r="P4">
        <v>843</v>
      </c>
      <c r="Q4">
        <v>518</v>
      </c>
      <c r="R4">
        <v>353</v>
      </c>
      <c r="S4">
        <v>0</v>
      </c>
      <c r="T4">
        <v>0</v>
      </c>
      <c r="U4">
        <v>0</v>
      </c>
      <c r="V4">
        <v>0</v>
      </c>
      <c r="W4">
        <v>306</v>
      </c>
      <c r="X4">
        <v>359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K4">
        <f t="shared" si="0"/>
        <v>58829</v>
      </c>
    </row>
    <row r="5" spans="1:37" x14ac:dyDescent="0.3">
      <c r="A5" t="s">
        <v>2</v>
      </c>
      <c r="B5">
        <v>339</v>
      </c>
      <c r="C5">
        <v>310</v>
      </c>
      <c r="D5">
        <v>445</v>
      </c>
      <c r="E5">
        <v>268</v>
      </c>
      <c r="F5">
        <v>318</v>
      </c>
      <c r="G5">
        <v>1005</v>
      </c>
      <c r="H5">
        <v>2557</v>
      </c>
      <c r="I5">
        <v>2855</v>
      </c>
      <c r="J5">
        <v>2530</v>
      </c>
      <c r="K5">
        <v>1031</v>
      </c>
      <c r="L5">
        <v>1065</v>
      </c>
      <c r="M5">
        <v>514</v>
      </c>
      <c r="N5">
        <v>612</v>
      </c>
      <c r="O5">
        <v>639</v>
      </c>
      <c r="P5">
        <v>439</v>
      </c>
      <c r="Q5">
        <v>1411</v>
      </c>
      <c r="R5">
        <v>1511</v>
      </c>
      <c r="S5">
        <v>2245</v>
      </c>
      <c r="T5">
        <v>1771</v>
      </c>
      <c r="U5">
        <v>1012</v>
      </c>
      <c r="V5">
        <v>555</v>
      </c>
      <c r="W5">
        <v>353</v>
      </c>
      <c r="X5">
        <v>0</v>
      </c>
      <c r="Y5">
        <v>0</v>
      </c>
      <c r="Z5">
        <v>354</v>
      </c>
      <c r="AA5">
        <v>344</v>
      </c>
      <c r="AB5">
        <v>0</v>
      </c>
      <c r="AC5">
        <v>0</v>
      </c>
      <c r="AD5">
        <v>0</v>
      </c>
      <c r="AK5">
        <f t="shared" si="0"/>
        <v>24483</v>
      </c>
    </row>
    <row r="6" spans="1:37" x14ac:dyDescent="0.3">
      <c r="A6" t="s">
        <v>19</v>
      </c>
      <c r="B6">
        <v>280</v>
      </c>
      <c r="C6">
        <v>244</v>
      </c>
      <c r="D6">
        <v>268</v>
      </c>
      <c r="E6">
        <v>344</v>
      </c>
      <c r="F6">
        <v>228</v>
      </c>
      <c r="G6">
        <v>308</v>
      </c>
      <c r="H6">
        <v>0</v>
      </c>
      <c r="I6">
        <v>0</v>
      </c>
      <c r="J6">
        <v>505</v>
      </c>
      <c r="K6">
        <v>349</v>
      </c>
      <c r="L6">
        <v>361</v>
      </c>
      <c r="M6">
        <v>976</v>
      </c>
      <c r="N6">
        <v>1374</v>
      </c>
      <c r="O6">
        <v>1928</v>
      </c>
      <c r="P6">
        <v>1821</v>
      </c>
      <c r="Q6">
        <v>1759</v>
      </c>
      <c r="R6">
        <v>1797</v>
      </c>
      <c r="S6">
        <v>1209</v>
      </c>
      <c r="T6">
        <v>1001</v>
      </c>
      <c r="U6">
        <v>938</v>
      </c>
      <c r="V6">
        <v>1040</v>
      </c>
      <c r="W6">
        <v>766</v>
      </c>
      <c r="X6">
        <v>564</v>
      </c>
      <c r="Y6">
        <v>747</v>
      </c>
      <c r="Z6">
        <v>583</v>
      </c>
      <c r="AA6">
        <v>367</v>
      </c>
      <c r="AB6">
        <v>398</v>
      </c>
      <c r="AC6">
        <v>379</v>
      </c>
      <c r="AD6">
        <v>259</v>
      </c>
      <c r="AK6">
        <f t="shared" si="0"/>
        <v>20793</v>
      </c>
    </row>
    <row r="7" spans="1:37" x14ac:dyDescent="0.3">
      <c r="A7" t="s">
        <v>3</v>
      </c>
      <c r="B7">
        <v>517</v>
      </c>
      <c r="C7">
        <v>783</v>
      </c>
      <c r="D7">
        <v>852</v>
      </c>
      <c r="E7">
        <v>622</v>
      </c>
      <c r="F7">
        <v>529</v>
      </c>
      <c r="G7">
        <v>735</v>
      </c>
      <c r="H7">
        <v>417</v>
      </c>
      <c r="I7">
        <v>426</v>
      </c>
      <c r="J7">
        <v>493</v>
      </c>
      <c r="K7">
        <v>405</v>
      </c>
      <c r="L7">
        <v>446</v>
      </c>
      <c r="M7">
        <v>545</v>
      </c>
      <c r="N7">
        <v>503</v>
      </c>
      <c r="O7">
        <v>607</v>
      </c>
      <c r="P7">
        <v>634</v>
      </c>
      <c r="Q7">
        <v>575</v>
      </c>
      <c r="R7">
        <v>452</v>
      </c>
      <c r="S7">
        <v>563</v>
      </c>
      <c r="T7">
        <v>508</v>
      </c>
      <c r="U7">
        <v>378</v>
      </c>
      <c r="V7">
        <v>410</v>
      </c>
      <c r="W7">
        <v>582</v>
      </c>
      <c r="X7">
        <v>560</v>
      </c>
      <c r="Y7">
        <v>619</v>
      </c>
      <c r="Z7">
        <v>631</v>
      </c>
      <c r="AA7">
        <v>923</v>
      </c>
      <c r="AB7">
        <v>688</v>
      </c>
      <c r="AC7">
        <v>496</v>
      </c>
      <c r="AD7">
        <v>700</v>
      </c>
      <c r="AK7">
        <f t="shared" si="0"/>
        <v>16599</v>
      </c>
    </row>
    <row r="8" spans="1:37" x14ac:dyDescent="0.3">
      <c r="A8" t="s">
        <v>18</v>
      </c>
      <c r="B8">
        <v>390</v>
      </c>
      <c r="C8">
        <v>320</v>
      </c>
      <c r="D8">
        <v>485</v>
      </c>
      <c r="E8">
        <v>495</v>
      </c>
      <c r="F8">
        <v>504</v>
      </c>
      <c r="G8">
        <v>312</v>
      </c>
      <c r="H8">
        <v>497</v>
      </c>
      <c r="I8">
        <v>385</v>
      </c>
      <c r="J8">
        <v>515</v>
      </c>
      <c r="K8">
        <v>691</v>
      </c>
      <c r="L8">
        <v>645</v>
      </c>
      <c r="M8">
        <v>655</v>
      </c>
      <c r="N8">
        <v>746</v>
      </c>
      <c r="O8">
        <v>672</v>
      </c>
      <c r="P8">
        <v>470</v>
      </c>
      <c r="Q8">
        <v>450</v>
      </c>
      <c r="R8">
        <v>442</v>
      </c>
      <c r="S8">
        <v>611</v>
      </c>
      <c r="T8">
        <v>603</v>
      </c>
      <c r="U8">
        <v>554</v>
      </c>
      <c r="V8">
        <v>642</v>
      </c>
      <c r="W8">
        <v>435</v>
      </c>
      <c r="X8">
        <v>600</v>
      </c>
      <c r="Y8">
        <v>535</v>
      </c>
      <c r="Z8">
        <v>581</v>
      </c>
      <c r="AA8">
        <v>525</v>
      </c>
      <c r="AB8">
        <v>432</v>
      </c>
      <c r="AC8">
        <v>443</v>
      </c>
      <c r="AD8">
        <v>448</v>
      </c>
      <c r="AK8">
        <f t="shared" si="0"/>
        <v>15083</v>
      </c>
    </row>
    <row r="9" spans="1:37" x14ac:dyDescent="0.3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618</v>
      </c>
      <c r="H9">
        <v>3268</v>
      </c>
      <c r="I9">
        <v>1887</v>
      </c>
      <c r="J9">
        <v>1996</v>
      </c>
      <c r="K9">
        <v>762</v>
      </c>
      <c r="L9">
        <v>847</v>
      </c>
      <c r="M9">
        <v>769</v>
      </c>
      <c r="N9">
        <v>590</v>
      </c>
      <c r="O9">
        <v>513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K9">
        <f t="shared" si="0"/>
        <v>11250</v>
      </c>
    </row>
    <row r="10" spans="1:37" x14ac:dyDescent="0.3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3131</v>
      </c>
      <c r="AB10">
        <v>4140</v>
      </c>
      <c r="AC10">
        <v>2306</v>
      </c>
      <c r="AD10">
        <v>1342</v>
      </c>
      <c r="AK10">
        <f t="shared" si="0"/>
        <v>10919</v>
      </c>
    </row>
    <row r="11" spans="1:37" x14ac:dyDescent="0.3">
      <c r="A1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1178</v>
      </c>
      <c r="V11">
        <v>2631</v>
      </c>
      <c r="W11">
        <v>741</v>
      </c>
      <c r="X11">
        <v>1797</v>
      </c>
      <c r="Y11">
        <v>1219</v>
      </c>
      <c r="Z11">
        <v>1285</v>
      </c>
      <c r="AA11">
        <v>644</v>
      </c>
      <c r="AB11">
        <v>443</v>
      </c>
      <c r="AC11">
        <v>362</v>
      </c>
      <c r="AD11">
        <v>321</v>
      </c>
      <c r="AK11">
        <f t="shared" si="0"/>
        <v>10621</v>
      </c>
    </row>
    <row r="36" spans="1:27" x14ac:dyDescent="0.3">
      <c r="A36" t="s">
        <v>13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 t="s">
        <v>37</v>
      </c>
      <c r="H36" t="s">
        <v>38</v>
      </c>
      <c r="I36" t="s">
        <v>22</v>
      </c>
      <c r="J36" t="s">
        <v>23</v>
      </c>
      <c r="K36" t="s">
        <v>24</v>
      </c>
      <c r="L36" t="s">
        <v>25</v>
      </c>
      <c r="M36" t="s">
        <v>39</v>
      </c>
      <c r="N36" t="s">
        <v>26</v>
      </c>
      <c r="O36" t="s">
        <v>27</v>
      </c>
      <c r="P36" t="s">
        <v>28</v>
      </c>
      <c r="Q36" t="s">
        <v>28</v>
      </c>
      <c r="R36" t="s">
        <v>28</v>
      </c>
      <c r="S36" t="s">
        <v>40</v>
      </c>
      <c r="T36" t="s">
        <v>40</v>
      </c>
      <c r="U36" t="s">
        <v>40</v>
      </c>
      <c r="V36" t="s">
        <v>29</v>
      </c>
      <c r="W36" t="s">
        <v>29</v>
      </c>
      <c r="X36" t="s">
        <v>29</v>
      </c>
      <c r="Y36" t="s">
        <v>30</v>
      </c>
      <c r="Z36" t="s">
        <v>30</v>
      </c>
      <c r="AA36" t="s">
        <v>30</v>
      </c>
    </row>
    <row r="37" spans="1:27" x14ac:dyDescent="0.3">
      <c r="A37" t="s">
        <v>3</v>
      </c>
      <c r="B37">
        <v>502</v>
      </c>
      <c r="C37">
        <v>778</v>
      </c>
      <c r="D37">
        <v>841</v>
      </c>
      <c r="E37">
        <v>604</v>
      </c>
      <c r="F37">
        <v>509</v>
      </c>
      <c r="G37">
        <v>723</v>
      </c>
      <c r="H37">
        <v>414</v>
      </c>
      <c r="I37">
        <v>425</v>
      </c>
      <c r="J37">
        <v>492</v>
      </c>
      <c r="K37">
        <v>400</v>
      </c>
      <c r="L37">
        <v>441</v>
      </c>
      <c r="M37">
        <v>531</v>
      </c>
      <c r="N37">
        <v>498</v>
      </c>
      <c r="O37">
        <v>593</v>
      </c>
      <c r="P37">
        <v>531</v>
      </c>
      <c r="Q37">
        <v>0</v>
      </c>
      <c r="R37">
        <v>50</v>
      </c>
      <c r="S37">
        <v>477</v>
      </c>
      <c r="T37">
        <v>0</v>
      </c>
      <c r="U37">
        <v>42</v>
      </c>
      <c r="V37">
        <v>378</v>
      </c>
      <c r="W37">
        <v>0</v>
      </c>
      <c r="X37">
        <v>26</v>
      </c>
      <c r="Y37">
        <v>456</v>
      </c>
      <c r="Z37">
        <v>0</v>
      </c>
      <c r="AA37">
        <v>39</v>
      </c>
    </row>
    <row r="38" spans="1:27" x14ac:dyDescent="0.3">
      <c r="A38" t="s">
        <v>2</v>
      </c>
      <c r="B38">
        <v>339</v>
      </c>
      <c r="C38">
        <v>310</v>
      </c>
      <c r="D38">
        <v>445</v>
      </c>
      <c r="E38">
        <v>268</v>
      </c>
      <c r="F38">
        <v>318</v>
      </c>
      <c r="G38">
        <v>405</v>
      </c>
      <c r="H38">
        <v>396</v>
      </c>
      <c r="I38">
        <v>570</v>
      </c>
      <c r="J38">
        <v>1126</v>
      </c>
      <c r="K38">
        <v>690</v>
      </c>
      <c r="L38">
        <v>577</v>
      </c>
      <c r="M38">
        <v>514</v>
      </c>
      <c r="N38">
        <v>612</v>
      </c>
      <c r="O38">
        <v>639</v>
      </c>
      <c r="P38">
        <v>298</v>
      </c>
      <c r="Q38">
        <v>0</v>
      </c>
      <c r="R38">
        <v>59</v>
      </c>
      <c r="S38">
        <v>342</v>
      </c>
      <c r="T38">
        <v>0</v>
      </c>
      <c r="U38">
        <v>57</v>
      </c>
      <c r="V38">
        <v>229</v>
      </c>
      <c r="W38">
        <v>0</v>
      </c>
      <c r="X38">
        <v>16</v>
      </c>
      <c r="Y38">
        <v>213</v>
      </c>
      <c r="Z38">
        <v>0</v>
      </c>
      <c r="AA38">
        <v>21</v>
      </c>
    </row>
    <row r="39" spans="1:27" x14ac:dyDescent="0.3">
      <c r="A39" t="s">
        <v>52</v>
      </c>
      <c r="B39">
        <v>0</v>
      </c>
      <c r="C39">
        <v>0</v>
      </c>
      <c r="D39">
        <v>0</v>
      </c>
      <c r="E39">
        <v>0</v>
      </c>
      <c r="F39">
        <v>287</v>
      </c>
      <c r="G39">
        <v>241</v>
      </c>
      <c r="H39">
        <v>0</v>
      </c>
      <c r="I39">
        <v>334</v>
      </c>
      <c r="J39">
        <v>326</v>
      </c>
      <c r="K39">
        <v>351</v>
      </c>
      <c r="L39">
        <v>329</v>
      </c>
      <c r="M39">
        <v>391</v>
      </c>
      <c r="N39">
        <v>400</v>
      </c>
      <c r="O39">
        <v>548</v>
      </c>
      <c r="P39">
        <v>272</v>
      </c>
      <c r="Q39">
        <v>0</v>
      </c>
      <c r="R39">
        <v>140</v>
      </c>
      <c r="S39">
        <v>297</v>
      </c>
      <c r="T39">
        <v>0</v>
      </c>
      <c r="U39">
        <v>119</v>
      </c>
      <c r="V39">
        <v>217</v>
      </c>
      <c r="W39">
        <v>0</v>
      </c>
      <c r="X39">
        <v>117</v>
      </c>
      <c r="Y39">
        <v>211</v>
      </c>
      <c r="Z39">
        <v>0</v>
      </c>
      <c r="AA39">
        <v>77</v>
      </c>
    </row>
    <row r="40" spans="1:27" x14ac:dyDescent="0.3">
      <c r="A40" t="s">
        <v>53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258</v>
      </c>
      <c r="Q40">
        <v>0</v>
      </c>
      <c r="R40">
        <v>0</v>
      </c>
      <c r="S40">
        <v>505</v>
      </c>
      <c r="T40">
        <v>0</v>
      </c>
      <c r="U40">
        <v>17</v>
      </c>
      <c r="V40">
        <v>595</v>
      </c>
      <c r="W40">
        <v>0</v>
      </c>
      <c r="X40">
        <v>0</v>
      </c>
      <c r="Y40">
        <v>673</v>
      </c>
      <c r="Z40">
        <v>0</v>
      </c>
      <c r="AA40">
        <v>11</v>
      </c>
    </row>
    <row r="41" spans="1:27" x14ac:dyDescent="0.3">
      <c r="A41" t="s">
        <v>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169</v>
      </c>
      <c r="Q41">
        <v>0</v>
      </c>
      <c r="R41">
        <v>0</v>
      </c>
      <c r="S41">
        <v>86</v>
      </c>
      <c r="T41">
        <v>0</v>
      </c>
      <c r="U41">
        <v>0</v>
      </c>
      <c r="V41">
        <v>57</v>
      </c>
      <c r="W41">
        <v>0</v>
      </c>
      <c r="X41">
        <v>0</v>
      </c>
      <c r="Y41">
        <v>58</v>
      </c>
      <c r="Z41">
        <v>0</v>
      </c>
      <c r="AA41">
        <v>0</v>
      </c>
    </row>
    <row r="42" spans="1:27" x14ac:dyDescent="0.3">
      <c r="A42" t="s">
        <v>8</v>
      </c>
      <c r="B42">
        <v>0</v>
      </c>
      <c r="C42">
        <v>0</v>
      </c>
      <c r="D42">
        <v>206</v>
      </c>
      <c r="E42">
        <v>474</v>
      </c>
      <c r="F42">
        <v>494</v>
      </c>
      <c r="G42">
        <v>555</v>
      </c>
      <c r="H42">
        <v>0</v>
      </c>
      <c r="I42">
        <v>0</v>
      </c>
      <c r="J42">
        <v>294</v>
      </c>
      <c r="K42">
        <v>0</v>
      </c>
      <c r="L42">
        <v>248</v>
      </c>
      <c r="M42">
        <v>306</v>
      </c>
      <c r="N42">
        <v>271</v>
      </c>
      <c r="O42">
        <v>317</v>
      </c>
      <c r="P42">
        <v>130</v>
      </c>
      <c r="Q42">
        <v>0</v>
      </c>
      <c r="R42">
        <v>49</v>
      </c>
      <c r="S42">
        <v>236</v>
      </c>
      <c r="T42">
        <v>0</v>
      </c>
      <c r="U42">
        <v>38</v>
      </c>
      <c r="V42">
        <v>120</v>
      </c>
      <c r="W42">
        <v>0</v>
      </c>
      <c r="X42">
        <v>26</v>
      </c>
      <c r="Y42">
        <v>101</v>
      </c>
      <c r="Z42">
        <v>0</v>
      </c>
      <c r="AA42">
        <v>20</v>
      </c>
    </row>
    <row r="43" spans="1:27" x14ac:dyDescent="0.3">
      <c r="A43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127</v>
      </c>
      <c r="Q43">
        <v>0</v>
      </c>
      <c r="R43">
        <v>0</v>
      </c>
      <c r="S43">
        <v>178</v>
      </c>
      <c r="T43">
        <v>0</v>
      </c>
      <c r="U43">
        <v>0</v>
      </c>
      <c r="V43">
        <v>219</v>
      </c>
      <c r="W43">
        <v>0</v>
      </c>
      <c r="X43">
        <v>0</v>
      </c>
      <c r="Y43">
        <v>143</v>
      </c>
      <c r="Z43">
        <v>0</v>
      </c>
      <c r="AA43">
        <v>0</v>
      </c>
    </row>
    <row r="44" spans="1:27" x14ac:dyDescent="0.3">
      <c r="A44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442</v>
      </c>
      <c r="P44">
        <v>124</v>
      </c>
      <c r="Q44">
        <v>0</v>
      </c>
      <c r="R44">
        <v>0</v>
      </c>
      <c r="S44">
        <v>93</v>
      </c>
      <c r="T44">
        <v>0</v>
      </c>
      <c r="U44">
        <v>0</v>
      </c>
      <c r="V44">
        <v>102</v>
      </c>
      <c r="W44">
        <v>0</v>
      </c>
      <c r="X44">
        <v>0</v>
      </c>
      <c r="Y44">
        <v>92</v>
      </c>
      <c r="Z44">
        <v>0</v>
      </c>
      <c r="AA44">
        <v>0</v>
      </c>
    </row>
    <row r="45" spans="1:27" x14ac:dyDescent="0.3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618</v>
      </c>
      <c r="H45">
        <v>3268</v>
      </c>
      <c r="I45">
        <v>1887</v>
      </c>
      <c r="J45">
        <v>1996</v>
      </c>
      <c r="K45">
        <v>762</v>
      </c>
      <c r="L45">
        <v>847</v>
      </c>
      <c r="M45">
        <v>769</v>
      </c>
      <c r="N45">
        <v>590</v>
      </c>
      <c r="O45">
        <v>513</v>
      </c>
      <c r="P45">
        <v>111</v>
      </c>
      <c r="Q45">
        <v>0</v>
      </c>
      <c r="R45">
        <v>13</v>
      </c>
      <c r="S45">
        <v>139</v>
      </c>
      <c r="T45">
        <v>0</v>
      </c>
      <c r="U45">
        <v>0</v>
      </c>
      <c r="V45">
        <v>109</v>
      </c>
      <c r="W45">
        <v>0</v>
      </c>
      <c r="X45">
        <v>13</v>
      </c>
      <c r="Y45">
        <v>75</v>
      </c>
      <c r="Z45">
        <v>0</v>
      </c>
      <c r="AA45">
        <v>12</v>
      </c>
    </row>
    <row r="46" spans="1:27" x14ac:dyDescent="0.3">
      <c r="A46" t="s">
        <v>6</v>
      </c>
      <c r="B46">
        <v>0</v>
      </c>
      <c r="C46">
        <v>0</v>
      </c>
      <c r="D46">
        <v>222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110</v>
      </c>
      <c r="Q46">
        <v>0</v>
      </c>
      <c r="R46">
        <v>38</v>
      </c>
      <c r="S46">
        <v>123</v>
      </c>
      <c r="T46">
        <v>0</v>
      </c>
      <c r="U46">
        <v>0</v>
      </c>
      <c r="V46">
        <v>131</v>
      </c>
      <c r="W46">
        <v>0</v>
      </c>
      <c r="X46">
        <v>47</v>
      </c>
      <c r="Y46">
        <v>0</v>
      </c>
      <c r="Z46">
        <v>0</v>
      </c>
      <c r="AA46">
        <v>0</v>
      </c>
    </row>
    <row r="47" spans="1:27" x14ac:dyDescent="0.3">
      <c r="A47" t="s">
        <v>57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110</v>
      </c>
      <c r="Q47">
        <v>0</v>
      </c>
      <c r="R47">
        <v>14</v>
      </c>
      <c r="S47">
        <v>71</v>
      </c>
      <c r="T47">
        <v>0</v>
      </c>
      <c r="U47">
        <v>0</v>
      </c>
      <c r="V47">
        <v>0</v>
      </c>
      <c r="W47">
        <v>0</v>
      </c>
      <c r="X47">
        <v>0</v>
      </c>
      <c r="Y47">
        <v>75</v>
      </c>
      <c r="Z47">
        <v>0</v>
      </c>
      <c r="AA47">
        <v>0</v>
      </c>
    </row>
    <row r="48" spans="1:27" x14ac:dyDescent="0.3">
      <c r="A48" t="s">
        <v>58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109</v>
      </c>
      <c r="Q48">
        <v>0</v>
      </c>
      <c r="R48">
        <v>22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 t="s">
        <v>59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106</v>
      </c>
      <c r="Q49">
        <v>0</v>
      </c>
      <c r="R49">
        <v>29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 t="s">
        <v>9</v>
      </c>
      <c r="B50">
        <v>328</v>
      </c>
      <c r="C50">
        <v>230</v>
      </c>
      <c r="D50">
        <v>197</v>
      </c>
      <c r="E50">
        <v>0</v>
      </c>
      <c r="F50">
        <v>0</v>
      </c>
      <c r="G50">
        <v>301</v>
      </c>
      <c r="H50">
        <v>333</v>
      </c>
      <c r="I50">
        <v>232</v>
      </c>
      <c r="J50">
        <v>482</v>
      </c>
      <c r="K50">
        <v>0</v>
      </c>
      <c r="L50">
        <v>0</v>
      </c>
      <c r="M50">
        <v>281</v>
      </c>
      <c r="N50">
        <v>0</v>
      </c>
      <c r="O50">
        <v>0</v>
      </c>
      <c r="P50">
        <v>104</v>
      </c>
      <c r="Q50">
        <v>0</v>
      </c>
      <c r="R50">
        <v>94</v>
      </c>
      <c r="S50">
        <v>130</v>
      </c>
      <c r="T50">
        <v>0</v>
      </c>
      <c r="U50">
        <v>64</v>
      </c>
      <c r="V50">
        <v>143</v>
      </c>
      <c r="W50">
        <v>0</v>
      </c>
      <c r="X50">
        <v>46</v>
      </c>
      <c r="Y50">
        <v>169</v>
      </c>
      <c r="Z50">
        <v>0</v>
      </c>
      <c r="AA50">
        <v>160</v>
      </c>
    </row>
    <row r="51" spans="1:27" x14ac:dyDescent="0.3">
      <c r="A51" t="s">
        <v>60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89</v>
      </c>
      <c r="Q51">
        <v>0</v>
      </c>
      <c r="R51">
        <v>0</v>
      </c>
      <c r="S51">
        <v>87</v>
      </c>
      <c r="T51">
        <v>0</v>
      </c>
      <c r="U51">
        <v>0</v>
      </c>
      <c r="V51">
        <v>64</v>
      </c>
      <c r="W51">
        <v>0</v>
      </c>
      <c r="X51">
        <v>0</v>
      </c>
      <c r="Y51">
        <v>55</v>
      </c>
      <c r="Z51">
        <v>0</v>
      </c>
      <c r="AA51">
        <v>0</v>
      </c>
    </row>
    <row r="52" spans="1:27" x14ac:dyDescent="0.3">
      <c r="A52" t="s">
        <v>61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86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">
      <c r="A53" t="s">
        <v>62</v>
      </c>
      <c r="B53">
        <v>255</v>
      </c>
      <c r="C53">
        <v>257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250</v>
      </c>
      <c r="K53">
        <v>0</v>
      </c>
      <c r="L53">
        <v>0</v>
      </c>
      <c r="M53">
        <v>0</v>
      </c>
      <c r="N53">
        <v>0</v>
      </c>
      <c r="O53">
        <v>0</v>
      </c>
      <c r="P53">
        <v>86</v>
      </c>
      <c r="Q53">
        <v>0</v>
      </c>
      <c r="R53">
        <v>14</v>
      </c>
      <c r="S53">
        <v>79</v>
      </c>
      <c r="T53">
        <v>0</v>
      </c>
      <c r="U53">
        <v>0</v>
      </c>
      <c r="V53">
        <v>118</v>
      </c>
      <c r="W53">
        <v>0</v>
      </c>
      <c r="X53">
        <v>18</v>
      </c>
      <c r="Y53">
        <v>87</v>
      </c>
      <c r="Z53">
        <v>0</v>
      </c>
      <c r="AA53">
        <v>0</v>
      </c>
    </row>
    <row r="54" spans="1:27" x14ac:dyDescent="0.3">
      <c r="A54" t="s">
        <v>63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82</v>
      </c>
      <c r="Q54">
        <v>0</v>
      </c>
      <c r="R54">
        <v>13</v>
      </c>
      <c r="S54">
        <v>0</v>
      </c>
      <c r="T54">
        <v>0</v>
      </c>
      <c r="U54">
        <v>0</v>
      </c>
      <c r="V54">
        <v>0</v>
      </c>
      <c r="W54">
        <v>0</v>
      </c>
      <c r="X54">
        <v>12</v>
      </c>
      <c r="Y54">
        <v>0</v>
      </c>
      <c r="Z54">
        <v>0</v>
      </c>
      <c r="AA54">
        <v>20</v>
      </c>
    </row>
    <row r="55" spans="1:27" x14ac:dyDescent="0.3">
      <c r="A55" t="s">
        <v>10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75</v>
      </c>
      <c r="Q55">
        <v>0</v>
      </c>
      <c r="R55">
        <v>26</v>
      </c>
      <c r="S55">
        <v>0</v>
      </c>
      <c r="T55">
        <v>0</v>
      </c>
      <c r="U55">
        <v>19</v>
      </c>
      <c r="V55">
        <v>0</v>
      </c>
      <c r="W55">
        <v>0</v>
      </c>
      <c r="X55">
        <v>12</v>
      </c>
      <c r="Y55">
        <v>74</v>
      </c>
      <c r="Z55">
        <v>0</v>
      </c>
      <c r="AA55">
        <v>34</v>
      </c>
    </row>
    <row r="56" spans="1:27" x14ac:dyDescent="0.3">
      <c r="A56" t="s">
        <v>64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74</v>
      </c>
      <c r="Q56">
        <v>0</v>
      </c>
      <c r="R56">
        <v>17</v>
      </c>
      <c r="S56">
        <v>77</v>
      </c>
      <c r="T56">
        <v>0</v>
      </c>
      <c r="U56">
        <v>16</v>
      </c>
      <c r="V56">
        <v>0</v>
      </c>
      <c r="W56">
        <v>0</v>
      </c>
      <c r="X56">
        <v>14</v>
      </c>
      <c r="Y56">
        <v>61</v>
      </c>
      <c r="Z56">
        <v>0</v>
      </c>
      <c r="AA56">
        <v>13</v>
      </c>
    </row>
    <row r="57" spans="1:27" x14ac:dyDescent="0.3">
      <c r="A57" t="s">
        <v>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61</v>
      </c>
      <c r="T57">
        <v>0</v>
      </c>
      <c r="U57">
        <v>0</v>
      </c>
      <c r="V57">
        <v>89</v>
      </c>
      <c r="W57">
        <v>0</v>
      </c>
      <c r="X57">
        <v>0</v>
      </c>
      <c r="Y57">
        <v>75</v>
      </c>
      <c r="Z57">
        <v>0</v>
      </c>
      <c r="AA57">
        <v>0</v>
      </c>
    </row>
    <row r="58" spans="1:27" x14ac:dyDescent="0.3">
      <c r="A58" t="s">
        <v>66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74</v>
      </c>
      <c r="T58">
        <v>0</v>
      </c>
      <c r="U58">
        <v>0</v>
      </c>
      <c r="V58">
        <v>85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">
      <c r="A59" t="s">
        <v>67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20</v>
      </c>
      <c r="V59">
        <v>78</v>
      </c>
      <c r="W59">
        <v>0</v>
      </c>
      <c r="X59">
        <v>17</v>
      </c>
      <c r="Y59">
        <v>0</v>
      </c>
      <c r="Z59">
        <v>0</v>
      </c>
      <c r="AA59">
        <v>0</v>
      </c>
    </row>
    <row r="60" spans="1:27" x14ac:dyDescent="0.3">
      <c r="A60" t="s">
        <v>68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100</v>
      </c>
      <c r="T60">
        <v>0</v>
      </c>
      <c r="U60">
        <v>0</v>
      </c>
      <c r="V60">
        <v>63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">
      <c r="A61" t="s">
        <v>69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62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 t="s">
        <v>70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13</v>
      </c>
      <c r="S62">
        <v>63</v>
      </c>
      <c r="T62">
        <v>0</v>
      </c>
      <c r="U62">
        <v>64</v>
      </c>
      <c r="V62">
        <v>57</v>
      </c>
      <c r="W62">
        <v>0</v>
      </c>
      <c r="X62">
        <v>60</v>
      </c>
      <c r="Y62">
        <v>0</v>
      </c>
      <c r="Z62">
        <v>0</v>
      </c>
      <c r="AA62">
        <v>41</v>
      </c>
    </row>
    <row r="63" spans="1:27" x14ac:dyDescent="0.3">
      <c r="A63" t="s">
        <v>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57</v>
      </c>
      <c r="W63">
        <v>0</v>
      </c>
      <c r="X63">
        <v>0</v>
      </c>
      <c r="Y63">
        <v>157</v>
      </c>
      <c r="Z63">
        <v>0</v>
      </c>
      <c r="AA63">
        <v>0</v>
      </c>
    </row>
    <row r="64" spans="1:27" x14ac:dyDescent="0.3">
      <c r="A64" t="s">
        <v>72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175</v>
      </c>
      <c r="Z64">
        <v>0</v>
      </c>
      <c r="AA64">
        <v>0</v>
      </c>
    </row>
    <row r="65" spans="1:27" x14ac:dyDescent="0.3">
      <c r="A65" t="s">
        <v>73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71</v>
      </c>
      <c r="Z65">
        <v>0</v>
      </c>
      <c r="AA65">
        <v>0</v>
      </c>
    </row>
    <row r="66" spans="1:27" x14ac:dyDescent="0.3">
      <c r="A66" t="s">
        <v>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54</v>
      </c>
      <c r="Z66">
        <v>0</v>
      </c>
      <c r="AA66">
        <v>0</v>
      </c>
    </row>
    <row r="67" spans="1:27" x14ac:dyDescent="0.3">
      <c r="A67" t="s">
        <v>16</v>
      </c>
      <c r="B67">
        <v>7449</v>
      </c>
      <c r="C67">
        <v>7401</v>
      </c>
      <c r="D67">
        <v>8421</v>
      </c>
      <c r="E67">
        <v>8230</v>
      </c>
      <c r="F67">
        <v>7458</v>
      </c>
      <c r="G67">
        <v>6609</v>
      </c>
      <c r="H67">
        <v>8002</v>
      </c>
      <c r="I67">
        <v>6874</v>
      </c>
      <c r="J67">
        <v>7232</v>
      </c>
      <c r="K67">
        <v>8209</v>
      </c>
      <c r="L67">
        <v>7788</v>
      </c>
      <c r="M67">
        <v>8435</v>
      </c>
      <c r="N67">
        <v>9698</v>
      </c>
      <c r="O67">
        <v>7604</v>
      </c>
      <c r="P67">
        <v>0</v>
      </c>
      <c r="Q67">
        <v>8224</v>
      </c>
      <c r="R67">
        <v>0</v>
      </c>
      <c r="S67">
        <v>0</v>
      </c>
      <c r="T67">
        <v>8086</v>
      </c>
      <c r="U67">
        <v>0</v>
      </c>
      <c r="V67">
        <v>0</v>
      </c>
      <c r="W67">
        <v>8189</v>
      </c>
      <c r="X67">
        <v>0</v>
      </c>
      <c r="Y67">
        <v>0</v>
      </c>
      <c r="Z67">
        <v>8797</v>
      </c>
      <c r="AA67">
        <v>0</v>
      </c>
    </row>
    <row r="68" spans="1:27" x14ac:dyDescent="0.3">
      <c r="A68" t="s">
        <v>18</v>
      </c>
      <c r="B68">
        <v>390</v>
      </c>
      <c r="C68">
        <v>320</v>
      </c>
      <c r="D68">
        <v>485</v>
      </c>
      <c r="E68">
        <v>495</v>
      </c>
      <c r="F68">
        <v>504</v>
      </c>
      <c r="G68">
        <v>312</v>
      </c>
      <c r="H68">
        <v>497</v>
      </c>
      <c r="I68">
        <v>385</v>
      </c>
      <c r="J68">
        <v>515</v>
      </c>
      <c r="K68">
        <v>691</v>
      </c>
      <c r="L68">
        <v>645</v>
      </c>
      <c r="M68">
        <v>654</v>
      </c>
      <c r="N68">
        <v>746</v>
      </c>
      <c r="O68">
        <v>672</v>
      </c>
      <c r="P68">
        <v>0</v>
      </c>
      <c r="Q68">
        <v>465</v>
      </c>
      <c r="R68">
        <v>0</v>
      </c>
      <c r="S68">
        <v>0</v>
      </c>
      <c r="T68">
        <v>445</v>
      </c>
      <c r="U68">
        <v>0</v>
      </c>
      <c r="V68">
        <v>0</v>
      </c>
      <c r="W68">
        <v>437</v>
      </c>
      <c r="X68">
        <v>0</v>
      </c>
      <c r="Y68">
        <v>0</v>
      </c>
      <c r="Z68">
        <v>595</v>
      </c>
      <c r="AA68">
        <v>0</v>
      </c>
    </row>
    <row r="69" spans="1:27" x14ac:dyDescent="0.3">
      <c r="A69" t="s">
        <v>74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190</v>
      </c>
      <c r="R69">
        <v>0</v>
      </c>
      <c r="S69">
        <v>0</v>
      </c>
      <c r="T69">
        <v>0</v>
      </c>
      <c r="U69">
        <v>0</v>
      </c>
      <c r="V69">
        <v>0</v>
      </c>
      <c r="W69">
        <v>173</v>
      </c>
      <c r="X69">
        <v>0</v>
      </c>
      <c r="Y69">
        <v>0</v>
      </c>
      <c r="Z69">
        <v>189</v>
      </c>
      <c r="AA69">
        <v>0</v>
      </c>
    </row>
    <row r="70" spans="1:27" x14ac:dyDescent="0.3">
      <c r="A70" t="s">
        <v>75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184</v>
      </c>
      <c r="R70">
        <v>0</v>
      </c>
      <c r="S70">
        <v>0</v>
      </c>
      <c r="T70">
        <v>159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">
      <c r="A71" t="s">
        <v>76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166</v>
      </c>
      <c r="R71">
        <v>0</v>
      </c>
      <c r="S71">
        <v>0</v>
      </c>
      <c r="T71">
        <v>168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">
      <c r="A72" t="s">
        <v>77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164</v>
      </c>
      <c r="X72">
        <v>0</v>
      </c>
      <c r="Y72">
        <v>0</v>
      </c>
      <c r="Z72">
        <v>0</v>
      </c>
      <c r="AA72">
        <v>0</v>
      </c>
    </row>
    <row r="73" spans="1:27" x14ac:dyDescent="0.3">
      <c r="A73" t="s">
        <v>78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175</v>
      </c>
      <c r="AA73">
        <v>0</v>
      </c>
    </row>
    <row r="74" spans="1:27" x14ac:dyDescent="0.3">
      <c r="A74" t="s">
        <v>17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5617</v>
      </c>
      <c r="I74">
        <v>5454</v>
      </c>
      <c r="J74">
        <v>5009</v>
      </c>
      <c r="K74">
        <v>2510</v>
      </c>
      <c r="L74">
        <v>4077</v>
      </c>
      <c r="M74">
        <v>5340</v>
      </c>
      <c r="N74">
        <v>1999</v>
      </c>
      <c r="O74">
        <v>1391</v>
      </c>
      <c r="P74">
        <v>0</v>
      </c>
      <c r="Q74">
        <v>0</v>
      </c>
      <c r="R74">
        <v>156</v>
      </c>
      <c r="S74">
        <v>0</v>
      </c>
      <c r="T74">
        <v>0</v>
      </c>
      <c r="U74">
        <v>68</v>
      </c>
      <c r="V74">
        <v>0</v>
      </c>
      <c r="W74">
        <v>0</v>
      </c>
      <c r="X74">
        <v>58</v>
      </c>
      <c r="Y74">
        <v>0</v>
      </c>
      <c r="Z74">
        <v>0</v>
      </c>
      <c r="AA74">
        <v>31</v>
      </c>
    </row>
    <row r="75" spans="1:27" x14ac:dyDescent="0.3">
      <c r="A75" t="s">
        <v>19</v>
      </c>
      <c r="B75">
        <v>242</v>
      </c>
      <c r="C75">
        <v>204</v>
      </c>
      <c r="D75">
        <v>233</v>
      </c>
      <c r="E75">
        <v>256</v>
      </c>
      <c r="F75">
        <v>195</v>
      </c>
      <c r="G75">
        <v>269</v>
      </c>
      <c r="H75">
        <v>0</v>
      </c>
      <c r="I75">
        <v>0</v>
      </c>
      <c r="J75">
        <v>428</v>
      </c>
      <c r="K75">
        <v>312</v>
      </c>
      <c r="L75">
        <v>320</v>
      </c>
      <c r="M75">
        <v>861</v>
      </c>
      <c r="N75">
        <v>1204</v>
      </c>
      <c r="O75">
        <v>1702</v>
      </c>
      <c r="P75">
        <v>0</v>
      </c>
      <c r="Q75">
        <v>0</v>
      </c>
      <c r="R75">
        <v>34</v>
      </c>
      <c r="S75">
        <v>0</v>
      </c>
      <c r="T75">
        <v>0</v>
      </c>
      <c r="U75">
        <v>0</v>
      </c>
      <c r="V75">
        <v>0</v>
      </c>
      <c r="W75">
        <v>0</v>
      </c>
      <c r="X75">
        <v>17</v>
      </c>
      <c r="Y75">
        <v>0</v>
      </c>
      <c r="Z75">
        <v>0</v>
      </c>
      <c r="AA75">
        <v>0</v>
      </c>
    </row>
    <row r="76" spans="1:27" x14ac:dyDescent="0.3">
      <c r="A76" t="s">
        <v>79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313</v>
      </c>
      <c r="L76">
        <v>418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">
      <c r="A77" t="s">
        <v>80</v>
      </c>
      <c r="B77">
        <v>324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 t="s">
        <v>81</v>
      </c>
      <c r="B78">
        <v>0</v>
      </c>
      <c r="C78">
        <v>247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">
      <c r="A79" t="s">
        <v>82</v>
      </c>
      <c r="B79">
        <v>0</v>
      </c>
      <c r="C79">
        <v>0</v>
      </c>
      <c r="D79">
        <v>0</v>
      </c>
      <c r="E79">
        <v>0</v>
      </c>
      <c r="F79">
        <v>0</v>
      </c>
      <c r="G79">
        <v>198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 t="s">
        <v>83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12</v>
      </c>
    </row>
    <row r="81" spans="1:27" x14ac:dyDescent="0.3">
      <c r="A81" t="s">
        <v>84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3">
      <c r="A82" t="s">
        <v>85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13</v>
      </c>
      <c r="S82">
        <v>0</v>
      </c>
      <c r="T82">
        <v>0</v>
      </c>
      <c r="U82">
        <v>17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">
      <c r="A83" t="s">
        <v>86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30</v>
      </c>
      <c r="V83">
        <v>0</v>
      </c>
      <c r="W83">
        <v>0</v>
      </c>
      <c r="X83">
        <v>23</v>
      </c>
      <c r="Y83">
        <v>0</v>
      </c>
      <c r="Z83">
        <v>0</v>
      </c>
      <c r="AA83">
        <v>27</v>
      </c>
    </row>
    <row r="84" spans="1:27" x14ac:dyDescent="0.3">
      <c r="A84" t="s">
        <v>87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15</v>
      </c>
      <c r="V84">
        <v>0</v>
      </c>
      <c r="W84">
        <v>0</v>
      </c>
      <c r="X84">
        <v>17</v>
      </c>
      <c r="Y84">
        <v>0</v>
      </c>
      <c r="Z84">
        <v>0</v>
      </c>
      <c r="AA84">
        <v>0</v>
      </c>
    </row>
    <row r="85" spans="1:27" x14ac:dyDescent="0.3">
      <c r="A85" t="s">
        <v>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16</v>
      </c>
      <c r="Y85">
        <v>0</v>
      </c>
      <c r="Z85">
        <v>0</v>
      </c>
      <c r="AA85">
        <v>11</v>
      </c>
    </row>
    <row r="86" spans="1:27" x14ac:dyDescent="0.3">
      <c r="A86" t="s">
        <v>88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14</v>
      </c>
      <c r="Y86">
        <v>0</v>
      </c>
      <c r="Z86">
        <v>0</v>
      </c>
      <c r="AA86">
        <v>0</v>
      </c>
    </row>
    <row r="87" spans="1:27" x14ac:dyDescent="0.3">
      <c r="A87" t="s">
        <v>89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13</v>
      </c>
      <c r="Y87">
        <v>0</v>
      </c>
      <c r="Z87">
        <v>0</v>
      </c>
      <c r="AA87">
        <v>12</v>
      </c>
    </row>
    <row r="88" spans="1:27" x14ac:dyDescent="0.3">
      <c r="A88" t="s">
        <v>90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17</v>
      </c>
      <c r="V88">
        <v>0</v>
      </c>
      <c r="W88">
        <v>0</v>
      </c>
      <c r="X88">
        <v>0</v>
      </c>
      <c r="Y88">
        <v>0</v>
      </c>
      <c r="Z88">
        <v>0</v>
      </c>
      <c r="AA88">
        <v>27</v>
      </c>
    </row>
    <row r="89" spans="1:27" x14ac:dyDescent="0.3">
      <c r="A89" t="s">
        <v>91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11</v>
      </c>
    </row>
    <row r="90" spans="1:27" x14ac:dyDescent="0.3">
      <c r="A90" t="s">
        <v>92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11</v>
      </c>
    </row>
    <row r="91" spans="1:27" x14ac:dyDescent="0.3">
      <c r="A91" t="s">
        <v>93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">
      <c r="A92" t="s">
        <v>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">
      <c r="A93" t="s">
        <v>94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">
      <c r="A94" t="s">
        <v>95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</sheetData>
  <autoFilter ref="A36:AA94" xr:uid="{14B8755B-5D4E-458E-9AC6-57D5FC987F74}">
    <sortState xmlns:xlrd2="http://schemas.microsoft.com/office/spreadsheetml/2017/richdata2" ref="A37:AA94">
      <sortCondition descending="1" ref="P36:P94"/>
    </sortState>
  </autoFilter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38</vt:i4>
      </vt:variant>
    </vt:vector>
  </HeadingPairs>
  <TitlesOfParts>
    <vt:vector size="38" baseType="lpstr">
      <vt:lpstr>2023.10</vt:lpstr>
      <vt:lpstr>2023.11</vt:lpstr>
      <vt:lpstr>2023.12</vt:lpstr>
      <vt:lpstr>2024.01</vt:lpstr>
      <vt:lpstr>2024.02</vt:lpstr>
      <vt:lpstr>2024.03</vt:lpstr>
      <vt:lpstr>2024.04</vt:lpstr>
      <vt:lpstr>2024.05</vt:lpstr>
      <vt:lpstr>2024.06</vt:lpstr>
      <vt:lpstr>2024.07</vt:lpstr>
      <vt:lpstr>2024.08</vt:lpstr>
      <vt:lpstr>2024.09</vt:lpstr>
      <vt:lpstr>2024.10</vt:lpstr>
      <vt:lpstr>2024.11</vt:lpstr>
      <vt:lpstr>2024.12</vt:lpstr>
      <vt:lpstr>2025.01</vt:lpstr>
      <vt:lpstr>2025.02</vt:lpstr>
      <vt:lpstr>2025.03</vt:lpstr>
      <vt:lpstr>2025.04</vt:lpstr>
      <vt:lpstr>2025.05</vt:lpstr>
      <vt:lpstr>2025.06</vt:lpstr>
      <vt:lpstr>2025.07</vt:lpstr>
      <vt:lpstr>2025.08</vt:lpstr>
      <vt:lpstr>2025.09</vt:lpstr>
      <vt:lpstr>2025.10</vt:lpstr>
      <vt:lpstr>2025.11</vt:lpstr>
      <vt:lpstr>2025.12</vt:lpstr>
      <vt:lpstr>2026.01</vt:lpstr>
      <vt:lpstr>2026.02</vt:lpstr>
      <vt:lpstr>2026.03</vt:lpstr>
      <vt:lpstr>2026.04</vt:lpstr>
      <vt:lpstr>2026.05</vt:lpstr>
      <vt:lpstr>2026.06</vt:lpstr>
      <vt:lpstr>2026.07</vt:lpstr>
      <vt:lpstr>2026.08</vt:lpstr>
      <vt:lpstr>2026.09</vt:lpstr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Iron</dc:creator>
  <cp:lastModifiedBy>Iron</cp:lastModifiedBy>
  <dcterms:created xsi:type="dcterms:W3CDTF">2023-03-01T05:55:15Z</dcterms:created>
  <dcterms:modified xsi:type="dcterms:W3CDTF">2026-10-06T11:46:35Z</dcterms:modified>
</cp:coreProperties>
</file>